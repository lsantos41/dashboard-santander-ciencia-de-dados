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VELL\Downloads\"/>
    </mc:Choice>
  </mc:AlternateContent>
  <xr:revisionPtr revIDLastSave="0" documentId="13_ncr:1_{8221E1E0-79EF-44F3-A13C-3B35EC5500D9}" xr6:coauthVersionLast="47" xr6:coauthVersionMax="47" xr10:uidLastSave="{00000000-0000-0000-0000-000000000000}"/>
  <bookViews>
    <workbookView xWindow="-108" yWindow="-108" windowWidth="23256" windowHeight="12252" tabRatio="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Minecraft_Season_Pass">#N/A</definedName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3" l="1"/>
</calcChain>
</file>

<file path=xl/sharedStrings.xml><?xml version="1.0" encoding="utf-8"?>
<sst xmlns="http://schemas.openxmlformats.org/spreadsheetml/2006/main" count="2014" uniqueCount="320">
  <si>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</si>
  <si>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</si>
  <si>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</si>
  <si>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</si>
  <si>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</si>
  <si>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</si>
  <si>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</si>
  <si>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</si>
  <si>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</si>
  <si>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</si>
  <si>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</si>
  <si>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</si>
  <si>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</si>
  <si>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</si>
  <si>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</si>
  <si>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</si>
  <si>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</si>
  <si>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</si>
  <si>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</si>
  <si>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</si>
  <si>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</si>
  <si>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</si>
  <si>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</si>
  <si>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</si>
  <si>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</si>
  <si>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</si>
  <si>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</si>
  <si>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</si>
  <si>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</si>
  <si>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</si>
  <si>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</si>
  <si>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</si>
  <si>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</si>
  <si>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</si>
  <si>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</si>
  <si>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</si>
  <si>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</si>
  <si>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</si>
  <si>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</si>
  <si>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</si>
  <si>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</si>
  <si>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</si>
  <si>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</si>
  <si>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</si>
  <si>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</si>
  <si>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</si>
  <si>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</si>
  <si>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</si>
  <si>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</si>
  <si>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</si>
  <si>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</si>
  <si>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</si>
  <si>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</si>
  <si>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</si>
  <si>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</si>
  <si>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</si>
  <si>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</si>
  <si>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</si>
  <si>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</si>
  <si>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</si>
  <si>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</si>
  <si>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</si>
  <si>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</si>
  <si>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</si>
  <si>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</si>
  <si>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</si>
  <si>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</si>
  <si>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</si>
  <si>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</si>
  <si>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</si>
  <si>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</si>
  <si>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</si>
  <si>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</si>
  <si>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</si>
  <si>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</si>
  <si>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</si>
  <si>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</si>
  <si>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</si>
  <si>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</si>
  <si>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</si>
  <si>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</si>
  <si>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</si>
  <si>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</si>
  <si>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</si>
  <si>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</si>
  <si>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</si>
  <si>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</si>
  <si>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</si>
  <si>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</si>
  <si>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</si>
  <si>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</si>
  <si>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</si>
  <si>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</si>
  <si>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</si>
  <si>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</si>
  <si>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</si>
  <si>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</si>
  <si>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</si>
  <si>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</si>
  <si>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</si>
  <si>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</si>
  <si>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</si>
  <si>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</si>
  <si>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</si>
  <si>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</si>
  <si>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</si>
  <si>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</si>
  <si>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</si>
  <si>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</si>
  <si>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</si>
  <si>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</si>
  <si>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</si>
  <si>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</si>
  <si>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</si>
  <si>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</si>
  <si>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</si>
  <si>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</si>
  <si>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</si>
  <si>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</si>
  <si>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</si>
  <si>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</si>
  <si>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</si>
  <si>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</si>
  <si>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</si>
  <si>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</si>
  <si>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</si>
  <si>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</si>
  <si>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</si>
  <si>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</si>
  <si>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</si>
  <si>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</si>
  <si>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</si>
  <si>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</si>
  <si>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</si>
  <si>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</si>
  <si>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</si>
  <si>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</si>
  <si>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</si>
  <si>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</si>
  <si>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</si>
  <si>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</si>
  <si>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</si>
  <si>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</si>
  <si>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</si>
  <si>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</si>
  <si>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</si>
  <si>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</si>
  <si>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</si>
  <si>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</si>
  <si>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</si>
  <si>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</si>
  <si>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</si>
  <si>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</si>
  <si>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</si>
  <si>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</si>
  <si>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</si>
  <si>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</si>
  <si>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</si>
  <si>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</si>
  <si>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</si>
  <si>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</si>
  <si>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</si>
  <si>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</si>
  <si>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</si>
  <si>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</si>
  <si>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</si>
  <si>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</si>
  <si>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</si>
  <si>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</si>
  <si>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</si>
  <si>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</si>
  <si>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</si>
  <si>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</si>
  <si>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</si>
  <si>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</si>
  <si>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</si>
  <si>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</si>
  <si>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</si>
  <si>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</si>
  <si>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</si>
  <si>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</si>
  <si>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</si>
  <si>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</si>
  <si>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</si>
  <si>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</si>
  <si>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</si>
  <si>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</si>
  <si>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</si>
  <si>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</si>
  <si>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</si>
  <si>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</si>
  <si>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</si>
  <si>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</si>
  <si>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</si>
  <si>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</si>
  <si>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</si>
  <si>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</si>
  <si>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</si>
  <si>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</si>
  <si>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</si>
  <si>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</si>
  <si>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</si>
  <si>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</si>
  <si>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</si>
  <si>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</si>
  <si>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</si>
  <si>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</si>
  <si>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</si>
  <si>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</si>
  <si>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</si>
  <si>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</si>
  <si>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</si>
  <si>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</si>
  <si>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</si>
  <si>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</si>
  <si>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</si>
  <si>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</si>
  <si>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</si>
  <si>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</si>
  <si>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</si>
  <si>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</si>
  <si>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</si>
  <si>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</si>
  <si>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</si>
  <si>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</si>
  <si>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</si>
  <si>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</si>
  <si>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</si>
  <si>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</si>
  <si>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</si>
  <si>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</si>
  <si>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</si>
  <si>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</si>
  <si>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</si>
  <si>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</si>
  <si>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</si>
  <si>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</si>
  <si>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</si>
  <si>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</si>
  <si>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</si>
  <si>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</si>
  <si>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</si>
  <si>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</si>
  <si>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</si>
  <si>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</si>
  <si>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</si>
  <si>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</si>
  <si>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</si>
  <si>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</si>
  <si>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</si>
  <si>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</si>
  <si>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</si>
  <si>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</si>
  <si>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</si>
  <si>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</si>
  <si>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</si>
  <si>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</si>
  <si>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</si>
  <si>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</si>
  <si>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</si>
  <si>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</si>
  <si>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</si>
  <si>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</si>
  <si>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</si>
  <si>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</si>
  <si>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</si>
  <si>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</si>
  <si>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</si>
  <si>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</si>
  <si>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</si>
  <si>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</si>
  <si>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</si>
  <si>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</si>
  <si>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</si>
  <si>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</si>
  <si>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</si>
  <si>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</si>
  <si>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</si>
  <si>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</si>
  <si>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</si>
  <si>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</si>
  <si>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</si>
  <si>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</si>
  <si>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</si>
  <si>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</si>
  <si>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</si>
  <si>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</si>
  <si>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</si>
  <si>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</si>
  <si>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</si>
  <si>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</si>
  <si>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</si>
  <si>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</si>
  <si>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</si>
  <si>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</si>
  <si>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</si>
  <si>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</si>
  <si>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</si>
  <si>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</si>
  <si>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</si>
  <si>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</si>
  <si>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</si>
  <si>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</si>
  <si>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</si>
  <si>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</si>
  <si>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</si>
  <si>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</si>
  <si>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</si>
  <si>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</si>
  <si>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</si>
  <si>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</si>
  <si>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#2AE6B1</t>
  </si>
  <si>
    <t>#9BC848</t>
  </si>
  <si>
    <t>#22C55E</t>
  </si>
  <si>
    <t>#5BF6A8</t>
  </si>
  <si>
    <t>#E8E6E9</t>
  </si>
  <si>
    <t>Total de vendas por ano, mês e trimestre</t>
  </si>
  <si>
    <t>Total de vendas por planos</t>
  </si>
  <si>
    <t>Percentual de vendas de Minecraft</t>
  </si>
  <si>
    <t>XBOX GAME PASS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</si>
</sst>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5BF6A8"/>
      <name val="Aptos Narrow"/>
      <family val="2"/>
      <scheme val="minor"/>
    </font>
    <font>
      <b/>
      <sz val="15"/>
      <color rgb="FF5BF6A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2" xfId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8" borderId="2" xfId="1" applyFont="1" applyFill="1" applyBorder="1" applyAlignment="1">
      <alignment horizontal="left" vertical="center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6"/>
        <color theme="0"/>
        <name val="Segoe UI"/>
        <family val="2"/>
        <scheme val="none"/>
      </font>
      <border diagonalUp="0" diagonalDown="0">
        <left/>
        <right/>
        <top/>
        <bottom/>
        <vertical/>
        <horizontal/>
      </border>
    </dxf>
    <dxf>
      <font>
        <color theme="1"/>
        <name val="Segoe UI"/>
        <family val="2"/>
        <scheme val="none"/>
      </font>
      <fill>
        <patternFill patternType="solid">
          <fgColor rgb="FF2AE6B1"/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B816CA98-93E0-411E-9330-75A7D4553B02}">
      <tableStyleElement type="wholeTable" dxfId="15"/>
      <tableStyleElement type="headerRow" dxfId="14"/>
    </tableStyle>
  </tableStyles>
  <colors>
    <mruColors>
      <color rgb="FFE8E6E9"/>
      <color rgb="FF2AE6B1"/>
      <color rgb="FF5BF6A8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[dashboard-vendas-XBOX-game-pass.xlsx]C̳álculos!Tabela dinâmica3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8847003499562555"/>
          <c:y val="0.15175707203266259"/>
          <c:w val="0.6115299650043744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EB-4ED2-9CFD-CEC1A95E0999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48-4BD4-91D0-E14FABC2BEB0}"/>
              </c:ext>
            </c:extLst>
          </c:dPt>
          <c:cat>
            <c:strRef>
              <c:f>C̳álculos!$B$45:$B$47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C̳álculos!$C$45:$C$47</c:f>
              <c:numCache>
                <c:formatCode>_("R$"* #,##0.00_);_("R$"* \(#,##0.00\);_("R$"* "-"??_);_(@_)</c:formatCode>
                <c:ptCount val="2"/>
                <c:pt idx="0">
                  <c:v>444</c:v>
                </c:pt>
                <c:pt idx="1">
                  <c:v>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B-4ED2-9CFD-CEC1A95E0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566895"/>
        <c:axId val="1490565455"/>
      </c:barChart>
      <c:catAx>
        <c:axId val="1490566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0565455"/>
        <c:crosses val="autoZero"/>
        <c:auto val="1"/>
        <c:lblAlgn val="ctr"/>
        <c:lblOffset val="100"/>
        <c:noMultiLvlLbl val="0"/>
      </c:catAx>
      <c:valAx>
        <c:axId val="149056545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9056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[dashboard-vendas-XBOX-game-pass.xlsx]C̳álculos!Tabela dinâmica1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026202974628171"/>
          <c:y val="0.15638670166229221"/>
          <c:w val="0.79779352580927387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5B-49C8-9835-0477D958D170}"/>
              </c:ext>
            </c:extLst>
          </c:dPt>
          <c:cat>
            <c:strRef>
              <c:f>C̳álculos!$B$5:$B$8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C̳álculos!$C$5:$C$8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B-49C8-9835-0477D958D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806431"/>
        <c:axId val="1386823711"/>
      </c:barChart>
      <c:catAx>
        <c:axId val="1386806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6823711"/>
        <c:crosses val="autoZero"/>
        <c:auto val="1"/>
        <c:lblAlgn val="ctr"/>
        <c:lblOffset val="100"/>
        <c:noMultiLvlLbl val="0"/>
      </c:catAx>
      <c:valAx>
        <c:axId val="138682371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8680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[dashboard-vendas-XBOX-game-pass.xlsx]C̳álculos!Tabela dinâmica2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70321713090135"/>
          <c:y val="0.10185185185185185"/>
          <c:w val="0.8434952272684666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621-4384-9DB7-8FDA8ABE02E7}"/>
              </c:ext>
            </c:extLst>
          </c:dPt>
          <c:cat>
            <c:strRef>
              <c:f>C̳álculos!$B$25:$B$28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C̳álculos!$C$25:$C$28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21-4384-9DB7-8FDA8ABE0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876991"/>
        <c:axId val="1386890431"/>
      </c:barChart>
      <c:catAx>
        <c:axId val="138687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6890431"/>
        <c:crosses val="autoZero"/>
        <c:auto val="1"/>
        <c:lblAlgn val="ctr"/>
        <c:lblOffset val="100"/>
        <c:noMultiLvlLbl val="0"/>
      </c:catAx>
      <c:valAx>
        <c:axId val="138689043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8687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image" Target="../media/image1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</xdr:col>
      <xdr:colOff>45720</xdr:colOff>
      <xdr:row>42</xdr:row>
      <xdr:rowOff>7621</xdr:rowOff>
    </xdr:from>
    <xdr:to>
      <xdr:col>3</xdr:col>
      <xdr:colOff>1874520</xdr:colOff>
      <xdr:row>48</xdr:row>
      <xdr:rowOff>99061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inecraft Season Pass">
              <a:extLst>
                <a:ext uri="{FF2B5EF4-FFF2-40B4-BE49-F238E27FC236}">
                  <a16:creationId xmlns:a16="http://schemas.microsoft.com/office/drawing/2014/main" id="{F88C4FC8-87ED-A9DC-8835-563C4598E0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2760" y="7688581"/>
              <a:ext cx="1828800" cy="1188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1912620</xdr:colOff>
      <xdr:row>39</xdr:row>
      <xdr:rowOff>156210</xdr:rowOff>
    </xdr:from>
    <xdr:to>
      <xdr:col>8</xdr:col>
      <xdr:colOff>83820</xdr:colOff>
      <xdr:row>54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5140108-EB5E-8740-8F61-A897A0D13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2</xdr:col>
      <xdr:colOff>396460</xdr:colOff>
      <xdr:row>2</xdr:row>
      <xdr:rowOff>68580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A88B48-1001-4286-B2CA-2261214B25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" t="-2904" r="72277" b="2904"/>
        <a:stretch>
          <a:fillRect/>
        </a:stretch>
      </xdr:blipFill>
      <xdr:spPr>
        <a:xfrm>
          <a:off x="2085975" y="0"/>
          <a:ext cx="644110" cy="744855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6</xdr:row>
      <xdr:rowOff>137160</xdr:rowOff>
    </xdr:from>
    <xdr:to>
      <xdr:col>0</xdr:col>
      <xdr:colOff>2085974</xdr:colOff>
      <xdr:row>14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8D5D391C-83F0-4E7F-B097-1AA3505FBB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57300"/>
              <a:ext cx="2085974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85725</xdr:colOff>
      <xdr:row>5</xdr:row>
      <xdr:rowOff>0</xdr:rowOff>
    </xdr:from>
    <xdr:to>
      <xdr:col>11</xdr:col>
      <xdr:colOff>285750</xdr:colOff>
      <xdr:row>19</xdr:row>
      <xdr:rowOff>7620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20385FEA-DDDB-2A39-E151-0DDF31DE3863}"/>
            </a:ext>
          </a:extLst>
        </xdr:cNvPr>
        <xdr:cNvGrpSpPr/>
      </xdr:nvGrpSpPr>
      <xdr:grpSpPr>
        <a:xfrm>
          <a:off x="2173605" y="998220"/>
          <a:ext cx="5930265" cy="2743200"/>
          <a:chOff x="1657350" y="1668780"/>
          <a:chExt cx="4876800" cy="2722245"/>
        </a:xfrm>
      </xdr:grpSpPr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F091BE0D-97F8-8164-8CF8-A5CC91B1FA67}"/>
              </a:ext>
            </a:extLst>
          </xdr:cNvPr>
          <xdr:cNvSpPr/>
        </xdr:nvSpPr>
        <xdr:spPr>
          <a:xfrm>
            <a:off x="1657350" y="1718310"/>
            <a:ext cx="4267200" cy="36766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7863B33D-46D5-B14D-D679-CA8B1E19935E}"/>
              </a:ext>
            </a:extLst>
          </xdr:cNvPr>
          <xdr:cNvGrpSpPr/>
        </xdr:nvGrpSpPr>
        <xdr:grpSpPr>
          <a:xfrm>
            <a:off x="1657350" y="1668780"/>
            <a:ext cx="4876800" cy="2722245"/>
            <a:chOff x="1653528" y="868680"/>
            <a:chExt cx="4876812" cy="2743200"/>
          </a:xfrm>
        </xdr:grpSpPr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ADCA5F33-D941-D808-F05D-47451940CDB6}"/>
                </a:ext>
              </a:extLst>
            </xdr:cNvPr>
            <xdr:cNvGrpSpPr/>
          </xdr:nvGrpSpPr>
          <xdr:grpSpPr>
            <a:xfrm>
              <a:off x="1653540" y="868680"/>
              <a:ext cx="4876800" cy="2743200"/>
              <a:chOff x="1653540" y="1272540"/>
              <a:chExt cx="4876800" cy="2743200"/>
            </a:xfrm>
          </xdr:grpSpPr>
          <xdr:sp macro="" textlink="">
            <xdr:nvSpPr>
              <xdr:cNvPr id="9" name="Retângulo 8">
                <a:extLst>
                  <a:ext uri="{FF2B5EF4-FFF2-40B4-BE49-F238E27FC236}">
                    <a16:creationId xmlns:a16="http://schemas.microsoft.com/office/drawing/2014/main" id="{7950BB3F-7204-2F18-036B-731107290030}"/>
                  </a:ext>
                </a:extLst>
              </xdr:cNvPr>
              <xdr:cNvSpPr/>
            </xdr:nvSpPr>
            <xdr:spPr>
              <a:xfrm>
                <a:off x="1653540" y="1699260"/>
                <a:ext cx="4267200" cy="210312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4" name="Gráfico 3">
                <a:extLst>
                  <a:ext uri="{FF2B5EF4-FFF2-40B4-BE49-F238E27FC236}">
                    <a16:creationId xmlns:a16="http://schemas.microsoft.com/office/drawing/2014/main" id="{CB41F112-850D-42A6-BD1B-CD43F561BD1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958340" y="1272540"/>
              <a:ext cx="4572000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</xdr:grp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27F1FF6A-264D-8DCF-5514-6F33E4C25700}"/>
                </a:ext>
              </a:extLst>
            </xdr:cNvPr>
            <xdr:cNvSpPr txBox="1"/>
          </xdr:nvSpPr>
          <xdr:spPr>
            <a:xfrm>
              <a:off x="1653528" y="870703"/>
              <a:ext cx="4267192" cy="41879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2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sell</a:t>
              </a:r>
            </a:p>
          </xdr:txBody>
        </xdr:sp>
      </xdr:grpSp>
    </xdr:grpSp>
    <xdr:clientData/>
  </xdr:twoCellAnchor>
  <xdr:twoCellAnchor editAs="absolute">
    <xdr:from>
      <xdr:col>0</xdr:col>
      <xdr:colOff>0</xdr:colOff>
      <xdr:row>14</xdr:row>
      <xdr:rowOff>36194</xdr:rowOff>
    </xdr:from>
    <xdr:to>
      <xdr:col>0</xdr:col>
      <xdr:colOff>2085974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lan">
              <a:extLst>
                <a:ext uri="{FF2B5EF4-FFF2-40B4-BE49-F238E27FC236}">
                  <a16:creationId xmlns:a16="http://schemas.microsoft.com/office/drawing/2014/main" id="{0EB9897B-71BF-4BE3-8E7A-B699510A43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55594"/>
              <a:ext cx="2085974" cy="1609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742950</xdr:colOff>
      <xdr:row>1</xdr:row>
      <xdr:rowOff>22860</xdr:rowOff>
    </xdr:from>
    <xdr:to>
      <xdr:col>0</xdr:col>
      <xdr:colOff>1438275</xdr:colOff>
      <xdr:row>4</xdr:row>
      <xdr:rowOff>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DF640E62-57F1-4040-A4E0-5F5F94577B57}"/>
            </a:ext>
          </a:extLst>
        </xdr:cNvPr>
        <xdr:cNvSpPr/>
      </xdr:nvSpPr>
      <xdr:spPr>
        <a:xfrm>
          <a:off x="742950" y="203835"/>
          <a:ext cx="695325" cy="662940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400050</xdr:colOff>
      <xdr:row>4</xdr:row>
      <xdr:rowOff>38100</xdr:rowOff>
    </xdr:from>
    <xdr:to>
      <xdr:col>19</xdr:col>
      <xdr:colOff>400050</xdr:colOff>
      <xdr:row>18</xdr:row>
      <xdr:rowOff>114300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2F908B9D-5BBF-9523-0F8B-5BF5B8E68073}"/>
            </a:ext>
          </a:extLst>
        </xdr:cNvPr>
        <xdr:cNvGrpSpPr/>
      </xdr:nvGrpSpPr>
      <xdr:grpSpPr>
        <a:xfrm>
          <a:off x="7608570" y="906780"/>
          <a:ext cx="5326380" cy="2758440"/>
          <a:chOff x="6953250" y="971550"/>
          <a:chExt cx="5324475" cy="2743200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FE6DFBC1-0BFF-CBB8-1BDA-6529EA18E28A}"/>
              </a:ext>
            </a:extLst>
          </xdr:cNvPr>
          <xdr:cNvGrpSpPr/>
        </xdr:nvGrpSpPr>
        <xdr:grpSpPr>
          <a:xfrm>
            <a:off x="6953250" y="971550"/>
            <a:ext cx="5324475" cy="2743200"/>
            <a:chOff x="8810625" y="2419350"/>
            <a:chExt cx="4876800" cy="2743200"/>
          </a:xfrm>
        </xdr:grpSpPr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8FC5BF9C-00CC-53F9-8878-876A0D10881F}"/>
                </a:ext>
              </a:extLst>
            </xdr:cNvPr>
            <xdr:cNvGrpSpPr/>
          </xdr:nvGrpSpPr>
          <xdr:grpSpPr>
            <a:xfrm>
              <a:off x="8810625" y="2419350"/>
              <a:ext cx="4876800" cy="2743200"/>
              <a:chOff x="6534150" y="971550"/>
              <a:chExt cx="4714875" cy="2743200"/>
            </a:xfrm>
          </xdr:grpSpPr>
          <xdr:sp macro="" textlink="">
            <xdr:nvSpPr>
              <xdr:cNvPr id="16" name="Retângulo 15">
                <a:extLst>
                  <a:ext uri="{FF2B5EF4-FFF2-40B4-BE49-F238E27FC236}">
                    <a16:creationId xmlns:a16="http://schemas.microsoft.com/office/drawing/2014/main" id="{BCA8DB87-47E9-BD64-AC83-4F4F6DF6B349}"/>
                  </a:ext>
                </a:extLst>
              </xdr:cNvPr>
              <xdr:cNvSpPr/>
            </xdr:nvSpPr>
            <xdr:spPr>
              <a:xfrm>
                <a:off x="6534150" y="1123950"/>
                <a:ext cx="4714875" cy="2409825"/>
              </a:xfrm>
              <a:prstGeom prst="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15" name="Gráfico 14">
                <a:extLst>
                  <a:ext uri="{FF2B5EF4-FFF2-40B4-BE49-F238E27FC236}">
                    <a16:creationId xmlns:a16="http://schemas.microsoft.com/office/drawing/2014/main" id="{C05F9341-1B5D-4372-89AA-CE2D260282E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534150" y="971550"/>
              <a:ext cx="4572000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CEEA3EF5-DAB0-8A82-927D-AF361ACAD204}"/>
                </a:ext>
              </a:extLst>
            </xdr:cNvPr>
            <xdr:cNvSpPr/>
          </xdr:nvSpPr>
          <xdr:spPr>
            <a:xfrm>
              <a:off x="8810625" y="2533650"/>
              <a:ext cx="4876800" cy="361950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4782C40D-5A41-82C0-A257-CED0CFD8F8C3}"/>
              </a:ext>
            </a:extLst>
          </xdr:cNvPr>
          <xdr:cNvSpPr txBox="1"/>
        </xdr:nvSpPr>
        <xdr:spPr>
          <a:xfrm>
            <a:off x="7200900" y="1076325"/>
            <a:ext cx="4876800" cy="361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4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Sell by plans</a:t>
            </a:r>
          </a:p>
        </xdr:txBody>
      </xdr:sp>
    </xdr:grpSp>
    <xdr:clientData/>
  </xdr:twoCellAnchor>
  <xdr:twoCellAnchor editAs="absolute">
    <xdr:from>
      <xdr:col>0</xdr:col>
      <xdr:colOff>1724025</xdr:colOff>
      <xdr:row>1</xdr:row>
      <xdr:rowOff>457200</xdr:rowOff>
    </xdr:from>
    <xdr:to>
      <xdr:col>10</xdr:col>
      <xdr:colOff>0</xdr:colOff>
      <xdr:row>5</xdr:row>
      <xdr:rowOff>0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A6D5AA97-AAE4-F858-D440-554EA1EACCC6}"/>
            </a:ext>
          </a:extLst>
        </xdr:cNvPr>
        <xdr:cNvSpPr txBox="1"/>
      </xdr:nvSpPr>
      <xdr:spPr>
        <a:xfrm>
          <a:off x="1724025" y="638175"/>
          <a:ext cx="54864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Period: 01/01/2024 to 12/31/2024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tângulo: Único Canto Arredondado 1">
          <a:extLst xmlns:a="http://schemas.openxmlformats.org/drawingml/2006/main">
            <a:ext uri="{FF2B5EF4-FFF2-40B4-BE49-F238E27FC236}">
              <a16:creationId xmlns:a16="http://schemas.microsoft.com/office/drawing/2014/main" id="{F9777DA5-761F-B79C-4E35-5CFA0347A296}"/>
            </a:ext>
          </a:extLst>
        </cdr:cNvPr>
        <cdr:cNvSpPr/>
      </cdr:nvSpPr>
      <cdr:spPr>
        <a:xfrm xmlns:a="http://schemas.openxmlformats.org/drawingml/2006/main">
          <a:off x="0" y="0"/>
          <a:ext cx="4572000" cy="2743200"/>
        </a:xfrm>
        <a:prstGeom xmlns:a="http://schemas.openxmlformats.org/drawingml/2006/main" prst="round1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ELL" refreshedDate="46000.601141782405" createdVersion="8" refreshedVersion="8" minRefreshableVersion="3" recordCount="295" xr:uid="{417DA24F-D278-4D9E-9291-34617B47607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4438670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x v="0"/>
    <s v="Yes"/>
    <n v="30"/>
    <x v="0"/>
    <x v="0"/>
    <n v="5"/>
    <x v="0"/>
  </r>
  <r>
    <n v="3232"/>
    <s v="Maria Oliveira"/>
    <x v="1"/>
    <d v="2024-01-15T00:00:00"/>
    <s v="No"/>
    <n v="5"/>
    <x v="1"/>
    <s v="No"/>
    <s v="-"/>
    <x v="1"/>
    <x v="1"/>
    <n v="0"/>
    <x v="1"/>
  </r>
  <r>
    <n v="3233"/>
    <s v="Lucas Fernandes"/>
    <x v="2"/>
    <d v="2024-02-10T00:00:00"/>
    <s v="Yes"/>
    <n v="10"/>
    <x v="2"/>
    <s v="No"/>
    <s v="-"/>
    <x v="0"/>
    <x v="0"/>
    <n v="10"/>
    <x v="2"/>
  </r>
  <r>
    <n v="3234"/>
    <s v="Ana Souza"/>
    <x v="0"/>
    <d v="2024-02-20T00:00:00"/>
    <s v="No"/>
    <n v="15"/>
    <x v="0"/>
    <s v="Yes"/>
    <n v="30"/>
    <x v="0"/>
    <x v="0"/>
    <n v="3"/>
    <x v="3"/>
  </r>
  <r>
    <n v="3235"/>
    <s v="Pedro Gonçalves"/>
    <x v="1"/>
    <d v="2024-03-05T00:00:00"/>
    <s v="Yes"/>
    <n v="5"/>
    <x v="0"/>
    <s v="No"/>
    <s v="-"/>
    <x v="1"/>
    <x v="1"/>
    <n v="1"/>
    <x v="4"/>
  </r>
  <r>
    <n v="3236"/>
    <s v="Felipe Costa"/>
    <x v="2"/>
    <d v="2024-03-02T00:00:00"/>
    <s v="No"/>
    <n v="10"/>
    <x v="0"/>
    <s v="No"/>
    <s v="-"/>
    <x v="0"/>
    <x v="0"/>
    <n v="2"/>
    <x v="5"/>
  </r>
  <r>
    <n v="3237"/>
    <s v="Camila Ribeiro"/>
    <x v="0"/>
    <d v="2024-03-03T00:00:00"/>
    <s v="Yes"/>
    <n v="15"/>
    <x v="2"/>
    <s v="Yes"/>
    <n v="30"/>
    <x v="0"/>
    <x v="0"/>
    <n v="10"/>
    <x v="6"/>
  </r>
  <r>
    <n v="3238"/>
    <s v="André Mendes"/>
    <x v="1"/>
    <d v="2024-03-04T00:00:00"/>
    <s v="Yes"/>
    <n v="5"/>
    <x v="1"/>
    <s v="No"/>
    <s v="-"/>
    <x v="1"/>
    <x v="1"/>
    <n v="0"/>
    <x v="1"/>
  </r>
  <r>
    <n v="3239"/>
    <s v="Sofia Almeida"/>
    <x v="0"/>
    <d v="2024-03-05T00:00:00"/>
    <s v="No"/>
    <n v="15"/>
    <x v="0"/>
    <s v="Yes"/>
    <n v="30"/>
    <x v="0"/>
    <x v="0"/>
    <n v="5"/>
    <x v="0"/>
  </r>
  <r>
    <n v="3240"/>
    <s v="Bruno Martins"/>
    <x v="2"/>
    <d v="2024-03-06T00:00:00"/>
    <s v="Yes"/>
    <n v="10"/>
    <x v="2"/>
    <s v="No"/>
    <s v="-"/>
    <x v="0"/>
    <x v="0"/>
    <n v="15"/>
    <x v="7"/>
  </r>
  <r>
    <n v="3241"/>
    <s v="Rita Castro"/>
    <x v="1"/>
    <d v="2024-03-07T00:00:00"/>
    <s v="No"/>
    <n v="5"/>
    <x v="0"/>
    <s v="No"/>
    <s v="-"/>
    <x v="1"/>
    <x v="1"/>
    <n v="1"/>
    <x v="4"/>
  </r>
  <r>
    <n v="3242"/>
    <s v="Marco Túlio"/>
    <x v="0"/>
    <d v="2024-03-08T00:00:00"/>
    <s v="Yes"/>
    <n v="15"/>
    <x v="1"/>
    <s v="Yes"/>
    <n v="30"/>
    <x v="0"/>
    <x v="0"/>
    <n v="20"/>
    <x v="8"/>
  </r>
  <r>
    <n v="3243"/>
    <s v="Lívia Silveira"/>
    <x v="2"/>
    <d v="2024-03-09T00:00:00"/>
    <s v="No"/>
    <n v="10"/>
    <x v="0"/>
    <s v="No"/>
    <s v="-"/>
    <x v="0"/>
    <x v="0"/>
    <n v="10"/>
    <x v="2"/>
  </r>
  <r>
    <n v="3244"/>
    <s v="Diogo Sousa"/>
    <x v="1"/>
    <d v="2024-03-10T00:00:00"/>
    <s v="Yes"/>
    <n v="5"/>
    <x v="2"/>
    <s v="No"/>
    <s v="-"/>
    <x v="1"/>
    <x v="1"/>
    <n v="0"/>
    <x v="1"/>
  </r>
  <r>
    <n v="3245"/>
    <s v="Fernanda Lima"/>
    <x v="0"/>
    <d v="2024-03-11T00:00:00"/>
    <s v="No"/>
    <n v="15"/>
    <x v="0"/>
    <s v="Yes"/>
    <n v="30"/>
    <x v="0"/>
    <x v="0"/>
    <n v="8"/>
    <x v="9"/>
  </r>
  <r>
    <n v="3246"/>
    <s v="Caio Pereira"/>
    <x v="2"/>
    <d v="2024-03-12T00:00:00"/>
    <s v="Yes"/>
    <n v="10"/>
    <x v="1"/>
    <s v="No"/>
    <s v="-"/>
    <x v="0"/>
    <x v="0"/>
    <n v="12"/>
    <x v="10"/>
  </r>
  <r>
    <n v="3247"/>
    <s v="Beatriz Gomes"/>
    <x v="1"/>
    <d v="2024-03-13T00:00:00"/>
    <s v="No"/>
    <n v="5"/>
    <x v="0"/>
    <s v="No"/>
    <s v="-"/>
    <x v="1"/>
    <x v="1"/>
    <n v="2"/>
    <x v="11"/>
  </r>
  <r>
    <n v="3248"/>
    <s v="Cesar Oliveira"/>
    <x v="0"/>
    <d v="2024-03-14T00:00:00"/>
    <s v="Yes"/>
    <n v="15"/>
    <x v="2"/>
    <s v="Yes"/>
    <n v="30"/>
    <x v="0"/>
    <x v="0"/>
    <n v="7"/>
    <x v="12"/>
  </r>
  <r>
    <n v="3249"/>
    <s v="Débora Machado"/>
    <x v="2"/>
    <d v="2024-03-15T00:00:00"/>
    <s v="No"/>
    <n v="10"/>
    <x v="0"/>
    <s v="No"/>
    <s v="-"/>
    <x v="0"/>
    <x v="0"/>
    <n v="5"/>
    <x v="13"/>
  </r>
  <r>
    <n v="3250"/>
    <s v="Eduardo Vargas"/>
    <x v="1"/>
    <d v="2024-03-16T00:00:00"/>
    <s v="Yes"/>
    <n v="5"/>
    <x v="1"/>
    <s v="No"/>
    <s v="-"/>
    <x v="1"/>
    <x v="1"/>
    <n v="0"/>
    <x v="1"/>
  </r>
  <r>
    <n v="3251"/>
    <s v="Gabriela Santos"/>
    <x v="0"/>
    <d v="2024-03-17T00:00:00"/>
    <s v="No"/>
    <n v="15"/>
    <x v="0"/>
    <s v="Yes"/>
    <n v="30"/>
    <x v="0"/>
    <x v="0"/>
    <n v="3"/>
    <x v="3"/>
  </r>
  <r>
    <n v="3252"/>
    <s v="Henrique Dias"/>
    <x v="2"/>
    <d v="2024-03-18T00:00:00"/>
    <s v="Yes"/>
    <n v="10"/>
    <x v="2"/>
    <s v="No"/>
    <s v="-"/>
    <x v="0"/>
    <x v="0"/>
    <n v="15"/>
    <x v="7"/>
  </r>
  <r>
    <n v="3253"/>
    <s v="Isabela Moreira"/>
    <x v="1"/>
    <d v="2024-03-19T00:00:00"/>
    <s v="No"/>
    <n v="5"/>
    <x v="0"/>
    <s v="No"/>
    <s v="-"/>
    <x v="1"/>
    <x v="1"/>
    <n v="1"/>
    <x v="4"/>
  </r>
  <r>
    <n v="3254"/>
    <s v="Joaquim Barbosa"/>
    <x v="0"/>
    <d v="2024-03-20T00:00:00"/>
    <s v="Yes"/>
    <n v="15"/>
    <x v="1"/>
    <s v="Yes"/>
    <n v="30"/>
    <x v="0"/>
    <x v="0"/>
    <n v="20"/>
    <x v="8"/>
  </r>
  <r>
    <n v="3255"/>
    <s v="Lara Rocha"/>
    <x v="2"/>
    <d v="2024-03-21T00:00:00"/>
    <s v="No"/>
    <n v="10"/>
    <x v="0"/>
    <s v="No"/>
    <s v="-"/>
    <x v="0"/>
    <x v="0"/>
    <n v="10"/>
    <x v="2"/>
  </r>
  <r>
    <n v="3256"/>
    <s v="Matheus Silva"/>
    <x v="1"/>
    <d v="2024-03-22T00:00:00"/>
    <s v="Yes"/>
    <n v="5"/>
    <x v="2"/>
    <s v="No"/>
    <s v="-"/>
    <x v="1"/>
    <x v="1"/>
    <n v="0"/>
    <x v="1"/>
  </r>
  <r>
    <n v="3257"/>
    <s v="Nicole Costa"/>
    <x v="0"/>
    <d v="2024-03-23T00:00:00"/>
    <s v="No"/>
    <n v="15"/>
    <x v="0"/>
    <s v="Yes"/>
    <n v="30"/>
    <x v="0"/>
    <x v="0"/>
    <n v="5"/>
    <x v="0"/>
  </r>
  <r>
    <n v="3258"/>
    <s v="Otávio Mendonça"/>
    <x v="2"/>
    <d v="2024-03-24T00:00:00"/>
    <s v="Yes"/>
    <n v="10"/>
    <x v="1"/>
    <s v="No"/>
    <s v="-"/>
    <x v="0"/>
    <x v="0"/>
    <n v="15"/>
    <x v="7"/>
  </r>
  <r>
    <n v="3259"/>
    <s v="Paula Ferreira"/>
    <x v="1"/>
    <d v="2024-03-25T00:00:00"/>
    <s v="No"/>
    <n v="5"/>
    <x v="0"/>
    <s v="No"/>
    <s v="-"/>
    <x v="1"/>
    <x v="1"/>
    <n v="1"/>
    <x v="4"/>
  </r>
  <r>
    <n v="3260"/>
    <s v="Raquel Alves"/>
    <x v="0"/>
    <d v="2024-03-26T00:00:00"/>
    <s v="Yes"/>
    <n v="15"/>
    <x v="2"/>
    <s v="Yes"/>
    <n v="30"/>
    <x v="0"/>
    <x v="0"/>
    <n v="7"/>
    <x v="12"/>
  </r>
  <r>
    <n v="3261"/>
    <s v="Samuel Pires"/>
    <x v="2"/>
    <d v="2024-03-27T00:00:00"/>
    <s v="No"/>
    <n v="10"/>
    <x v="0"/>
    <s v="No"/>
    <s v="-"/>
    <x v="0"/>
    <x v="0"/>
    <n v="10"/>
    <x v="2"/>
  </r>
  <r>
    <n v="3262"/>
    <s v="Tânia Barros"/>
    <x v="1"/>
    <d v="2024-03-28T00:00:00"/>
    <s v="Yes"/>
    <n v="5"/>
    <x v="1"/>
    <s v="No"/>
    <s v="-"/>
    <x v="1"/>
    <x v="1"/>
    <n v="0"/>
    <x v="1"/>
  </r>
  <r>
    <n v="3263"/>
    <s v="Vinicius Lima"/>
    <x v="0"/>
    <d v="2024-03-29T00:00:00"/>
    <s v="No"/>
    <n v="15"/>
    <x v="0"/>
    <s v="Yes"/>
    <n v="30"/>
    <x v="0"/>
    <x v="0"/>
    <n v="3"/>
    <x v="3"/>
  </r>
  <r>
    <n v="3264"/>
    <s v="Yasmin Teixeira"/>
    <x v="2"/>
    <d v="2024-03-30T00:00:00"/>
    <s v="Yes"/>
    <n v="10"/>
    <x v="2"/>
    <s v="No"/>
    <s v="-"/>
    <x v="0"/>
    <x v="0"/>
    <n v="15"/>
    <x v="7"/>
  </r>
  <r>
    <n v="3265"/>
    <s v="Zé Carlos"/>
    <x v="1"/>
    <d v="2024-03-31T00:00:00"/>
    <s v="No"/>
    <n v="5"/>
    <x v="0"/>
    <s v="No"/>
    <s v="-"/>
    <x v="1"/>
    <x v="1"/>
    <n v="1"/>
    <x v="4"/>
  </r>
  <r>
    <n v="3266"/>
    <s v="Amanda Nogueira"/>
    <x v="1"/>
    <d v="2024-04-01T00:00:00"/>
    <s v="Yes"/>
    <n v="5"/>
    <x v="0"/>
    <s v="No"/>
    <s v="-"/>
    <x v="1"/>
    <x v="1"/>
    <n v="0"/>
    <x v="1"/>
  </r>
  <r>
    <n v="3267"/>
    <s v="Bruno Cavalheiro"/>
    <x v="0"/>
    <d v="2024-04-02T00:00:00"/>
    <s v="No"/>
    <n v="15"/>
    <x v="2"/>
    <s v="Yes"/>
    <n v="30"/>
    <x v="0"/>
    <x v="0"/>
    <n v="7"/>
    <x v="12"/>
  </r>
  <r>
    <n v="3268"/>
    <s v="Carla Dias"/>
    <x v="2"/>
    <d v="2024-04-03T00:00:00"/>
    <s v="Yes"/>
    <n v="10"/>
    <x v="1"/>
    <s v="No"/>
    <s v="-"/>
    <x v="0"/>
    <x v="0"/>
    <n v="10"/>
    <x v="2"/>
  </r>
  <r>
    <n v="3269"/>
    <s v="Diego Fontes"/>
    <x v="1"/>
    <d v="2024-04-04T00:00:00"/>
    <s v="No"/>
    <n v="5"/>
    <x v="2"/>
    <s v="No"/>
    <s v="-"/>
    <x v="1"/>
    <x v="1"/>
    <n v="1"/>
    <x v="4"/>
  </r>
  <r>
    <n v="3270"/>
    <s v="Eunice Lima"/>
    <x v="0"/>
    <d v="2024-04-05T00:00:00"/>
    <s v="Yes"/>
    <n v="15"/>
    <x v="0"/>
    <s v="Yes"/>
    <n v="30"/>
    <x v="0"/>
    <x v="0"/>
    <n v="15"/>
    <x v="14"/>
  </r>
  <r>
    <n v="3271"/>
    <s v="Fábio Martins"/>
    <x v="2"/>
    <d v="2024-04-06T00:00:00"/>
    <s v="No"/>
    <n v="10"/>
    <x v="0"/>
    <s v="No"/>
    <s v="-"/>
    <x v="0"/>
    <x v="0"/>
    <n v="5"/>
    <x v="13"/>
  </r>
  <r>
    <n v="3272"/>
    <s v="Gisele Araújo"/>
    <x v="1"/>
    <d v="2024-04-07T00:00:00"/>
    <s v="Yes"/>
    <n v="5"/>
    <x v="1"/>
    <s v="No"/>
    <s v="-"/>
    <x v="1"/>
    <x v="1"/>
    <n v="0"/>
    <x v="1"/>
  </r>
  <r>
    <n v="3273"/>
    <s v="Hélio Castro"/>
    <x v="0"/>
    <d v="2024-04-08T00:00:00"/>
    <s v="No"/>
    <n v="15"/>
    <x v="2"/>
    <s v="Yes"/>
    <n v="30"/>
    <x v="0"/>
    <x v="0"/>
    <n v="20"/>
    <x v="8"/>
  </r>
  <r>
    <n v="3274"/>
    <s v="Ingrid Menezes"/>
    <x v="2"/>
    <d v="2024-04-09T00:00:00"/>
    <s v="Yes"/>
    <n v="10"/>
    <x v="2"/>
    <s v="No"/>
    <s v="-"/>
    <x v="0"/>
    <x v="0"/>
    <n v="12"/>
    <x v="10"/>
  </r>
  <r>
    <n v="3275"/>
    <s v="Jorge Baptista"/>
    <x v="1"/>
    <d v="2024-04-10T00:00:00"/>
    <s v="No"/>
    <n v="5"/>
    <x v="0"/>
    <s v="No"/>
    <s v="-"/>
    <x v="1"/>
    <x v="1"/>
    <n v="2"/>
    <x v="11"/>
  </r>
  <r>
    <n v="3276"/>
    <s v="Kléber Oliveira"/>
    <x v="0"/>
    <d v="2024-04-11T00:00:00"/>
    <s v="Yes"/>
    <n v="15"/>
    <x v="1"/>
    <s v="Yes"/>
    <n v="30"/>
    <x v="0"/>
    <x v="0"/>
    <n v="5"/>
    <x v="0"/>
  </r>
  <r>
    <n v="3277"/>
    <s v="Luciana Freitas"/>
    <x v="2"/>
    <d v="2024-04-12T00:00:00"/>
    <s v="No"/>
    <n v="10"/>
    <x v="0"/>
    <s v="No"/>
    <s v="-"/>
    <x v="0"/>
    <x v="0"/>
    <n v="10"/>
    <x v="2"/>
  </r>
  <r>
    <n v="3278"/>
    <s v="Márcia Eller"/>
    <x v="1"/>
    <d v="2024-04-13T00:00:00"/>
    <s v="Yes"/>
    <n v="5"/>
    <x v="2"/>
    <s v="No"/>
    <s v="-"/>
    <x v="1"/>
    <x v="1"/>
    <n v="0"/>
    <x v="1"/>
  </r>
  <r>
    <n v="3279"/>
    <s v="Nilo Peçanha"/>
    <x v="0"/>
    <d v="2024-04-14T00:00:00"/>
    <s v="No"/>
    <n v="15"/>
    <x v="0"/>
    <s v="Yes"/>
    <n v="30"/>
    <x v="0"/>
    <x v="0"/>
    <n v="3"/>
    <x v="3"/>
  </r>
  <r>
    <n v="3280"/>
    <s v="Oscar Neves"/>
    <x v="2"/>
    <d v="2024-04-15T00:00:00"/>
    <s v="Yes"/>
    <n v="10"/>
    <x v="1"/>
    <s v="No"/>
    <s v="-"/>
    <x v="0"/>
    <x v="0"/>
    <n v="15"/>
    <x v="7"/>
  </r>
  <r>
    <n v="3281"/>
    <s v="Patrícia Soares"/>
    <x v="1"/>
    <d v="2024-04-16T00:00:00"/>
    <s v="No"/>
    <n v="5"/>
    <x v="0"/>
    <s v="No"/>
    <s v="-"/>
    <x v="1"/>
    <x v="1"/>
    <n v="1"/>
    <x v="4"/>
  </r>
  <r>
    <n v="3282"/>
    <s v="Quirino Gonçalves"/>
    <x v="0"/>
    <d v="2024-04-17T00:00:00"/>
    <s v="Yes"/>
    <n v="15"/>
    <x v="2"/>
    <s v="Yes"/>
    <n v="30"/>
    <x v="0"/>
    <x v="0"/>
    <n v="7"/>
    <x v="12"/>
  </r>
  <r>
    <n v="3283"/>
    <s v="Raul Machado"/>
    <x v="2"/>
    <d v="2024-04-18T00:00:00"/>
    <s v="No"/>
    <n v="10"/>
    <x v="0"/>
    <s v="No"/>
    <s v="-"/>
    <x v="0"/>
    <x v="0"/>
    <n v="10"/>
    <x v="2"/>
  </r>
  <r>
    <n v="3284"/>
    <s v="Sônia Lobo"/>
    <x v="1"/>
    <d v="2024-04-19T00:00:00"/>
    <s v="Yes"/>
    <n v="5"/>
    <x v="1"/>
    <s v="No"/>
    <s v="-"/>
    <x v="1"/>
    <x v="1"/>
    <n v="0"/>
    <x v="1"/>
  </r>
  <r>
    <n v="3285"/>
    <s v="Tiago Ramos"/>
    <x v="0"/>
    <d v="2024-04-20T00:00:00"/>
    <s v="No"/>
    <n v="15"/>
    <x v="0"/>
    <s v="Yes"/>
    <n v="30"/>
    <x v="0"/>
    <x v="0"/>
    <n v="20"/>
    <x v="8"/>
  </r>
  <r>
    <n v="3286"/>
    <s v="Ugo Pires"/>
    <x v="2"/>
    <d v="2024-04-21T00:00:00"/>
    <s v="Yes"/>
    <n v="10"/>
    <x v="2"/>
    <s v="No"/>
    <s v="-"/>
    <x v="0"/>
    <x v="0"/>
    <n v="15"/>
    <x v="7"/>
  </r>
  <r>
    <n v="3287"/>
    <s v="Valéria Nobre"/>
    <x v="1"/>
    <d v="2024-04-22T00:00:00"/>
    <s v="No"/>
    <n v="5"/>
    <x v="0"/>
    <s v="No"/>
    <s v="-"/>
    <x v="1"/>
    <x v="1"/>
    <n v="1"/>
    <x v="4"/>
  </r>
  <r>
    <n v="3288"/>
    <s v="William Siqueira"/>
    <x v="0"/>
    <d v="2024-04-23T00:00:00"/>
    <s v="Yes"/>
    <n v="15"/>
    <x v="1"/>
    <s v="Yes"/>
    <n v="30"/>
    <x v="0"/>
    <x v="0"/>
    <n v="3"/>
    <x v="3"/>
  </r>
  <r>
    <n v="3289"/>
    <s v="Xuxa Meneghel"/>
    <x v="2"/>
    <d v="2024-04-24T00:00:00"/>
    <s v="No"/>
    <n v="10"/>
    <x v="0"/>
    <s v="No"/>
    <s v="-"/>
    <x v="0"/>
    <x v="0"/>
    <n v="10"/>
    <x v="2"/>
  </r>
  <r>
    <n v="3290"/>
    <s v="Yara Figueiredo"/>
    <x v="1"/>
    <d v="2024-04-25T00:00:00"/>
    <s v="Yes"/>
    <n v="5"/>
    <x v="2"/>
    <s v="No"/>
    <s v="-"/>
    <x v="1"/>
    <x v="1"/>
    <n v="0"/>
    <x v="1"/>
  </r>
  <r>
    <n v="3291"/>
    <s v="Zacarias Alves"/>
    <x v="0"/>
    <d v="2024-04-26T00:00:00"/>
    <s v="No"/>
    <n v="15"/>
    <x v="0"/>
    <s v="Yes"/>
    <n v="30"/>
    <x v="0"/>
    <x v="0"/>
    <n v="5"/>
    <x v="0"/>
  </r>
  <r>
    <n v="3292"/>
    <s v="Amanda Bynes"/>
    <x v="2"/>
    <d v="2024-04-27T00:00:00"/>
    <s v="Yes"/>
    <n v="10"/>
    <x v="1"/>
    <s v="No"/>
    <s v="-"/>
    <x v="0"/>
    <x v="0"/>
    <n v="15"/>
    <x v="7"/>
  </r>
  <r>
    <n v="3293"/>
    <s v="Bruno Mars"/>
    <x v="1"/>
    <d v="2024-04-28T00:00:00"/>
    <s v="No"/>
    <n v="5"/>
    <x v="0"/>
    <s v="No"/>
    <s v="-"/>
    <x v="1"/>
    <x v="1"/>
    <n v="1"/>
    <x v="4"/>
  </r>
  <r>
    <n v="3294"/>
    <s v="Carla Bruni"/>
    <x v="0"/>
    <d v="2024-04-29T00:00:00"/>
    <s v="Yes"/>
    <n v="15"/>
    <x v="2"/>
    <s v="Yes"/>
    <n v="30"/>
    <x v="0"/>
    <x v="0"/>
    <n v="20"/>
    <x v="8"/>
  </r>
  <r>
    <n v="3295"/>
    <s v="Diego Maradona"/>
    <x v="2"/>
    <d v="2024-04-30T00:00:00"/>
    <s v="No"/>
    <n v="10"/>
    <x v="0"/>
    <s v="No"/>
    <s v="-"/>
    <x v="0"/>
    <x v="0"/>
    <n v="5"/>
    <x v="13"/>
  </r>
  <r>
    <n v="3296"/>
    <s v="Estela Marques"/>
    <x v="1"/>
    <d v="2024-05-01T00:00:00"/>
    <s v="No"/>
    <n v="5"/>
    <x v="0"/>
    <s v="No"/>
    <s v="-"/>
    <x v="1"/>
    <x v="1"/>
    <n v="0"/>
    <x v="1"/>
  </r>
  <r>
    <n v="3297"/>
    <s v="Fábio Nobre"/>
    <x v="0"/>
    <d v="2024-05-02T00:00:00"/>
    <s v="Yes"/>
    <n v="15"/>
    <x v="2"/>
    <s v="Yes"/>
    <n v="30"/>
    <x v="0"/>
    <x v="0"/>
    <n v="7"/>
    <x v="12"/>
  </r>
  <r>
    <n v="3298"/>
    <s v="Gabriel Oliveira"/>
    <x v="2"/>
    <d v="2024-05-03T00:00:00"/>
    <s v="No"/>
    <n v="10"/>
    <x v="1"/>
    <s v="No"/>
    <s v="-"/>
    <x v="0"/>
    <x v="0"/>
    <n v="10"/>
    <x v="2"/>
  </r>
  <r>
    <n v="3299"/>
    <s v="Helena Santos"/>
    <x v="1"/>
    <d v="2024-05-04T00:00:00"/>
    <s v="Yes"/>
    <n v="5"/>
    <x v="2"/>
    <s v="No"/>
    <s v="-"/>
    <x v="1"/>
    <x v="1"/>
    <n v="1"/>
    <x v="4"/>
  </r>
  <r>
    <n v="3300"/>
    <s v="Ivan Carvalho"/>
    <x v="0"/>
    <d v="2024-05-05T00:00:00"/>
    <s v="No"/>
    <n v="15"/>
    <x v="0"/>
    <s v="Yes"/>
    <n v="30"/>
    <x v="0"/>
    <x v="0"/>
    <n v="15"/>
    <x v="14"/>
  </r>
  <r>
    <n v="3301"/>
    <s v="Júlia Ferreira"/>
    <x v="2"/>
    <d v="2024-05-06T00:00:00"/>
    <s v="Yes"/>
    <n v="10"/>
    <x v="0"/>
    <s v="No"/>
    <s v="-"/>
    <x v="0"/>
    <x v="0"/>
    <n v="5"/>
    <x v="13"/>
  </r>
  <r>
    <n v="3302"/>
    <s v="Karla Alves"/>
    <x v="1"/>
    <d v="2024-05-07T00:00:00"/>
    <s v="No"/>
    <n v="5"/>
    <x v="1"/>
    <s v="No"/>
    <s v="-"/>
    <x v="1"/>
    <x v="1"/>
    <n v="0"/>
    <x v="1"/>
  </r>
  <r>
    <n v="3303"/>
    <s v="Lucas Mendes"/>
    <x v="0"/>
    <d v="2024-05-08T00:00:00"/>
    <s v="Yes"/>
    <n v="15"/>
    <x v="2"/>
    <s v="Yes"/>
    <n v="30"/>
    <x v="0"/>
    <x v="0"/>
    <n v="20"/>
    <x v="8"/>
  </r>
  <r>
    <n v="3304"/>
    <s v="Mônica Gomes"/>
    <x v="2"/>
    <d v="2024-05-09T00:00:00"/>
    <s v="No"/>
    <n v="10"/>
    <x v="2"/>
    <s v="No"/>
    <s v="-"/>
    <x v="0"/>
    <x v="0"/>
    <n v="12"/>
    <x v="10"/>
  </r>
  <r>
    <n v="3305"/>
    <s v="Norberto Queiroz"/>
    <x v="1"/>
    <d v="2024-05-10T00:00:00"/>
    <s v="Yes"/>
    <n v="5"/>
    <x v="0"/>
    <s v="No"/>
    <s v="-"/>
    <x v="1"/>
    <x v="1"/>
    <n v="2"/>
    <x v="11"/>
  </r>
  <r>
    <n v="3306"/>
    <s v="Otávio Barros"/>
    <x v="0"/>
    <d v="2024-05-11T00:00:00"/>
    <s v="No"/>
    <n v="15"/>
    <x v="1"/>
    <s v="Yes"/>
    <n v="30"/>
    <x v="0"/>
    <x v="0"/>
    <n v="5"/>
    <x v="0"/>
  </r>
  <r>
    <n v="3307"/>
    <s v="Paula Vieira"/>
    <x v="2"/>
    <d v="2024-05-12T00:00:00"/>
    <s v="Yes"/>
    <n v="10"/>
    <x v="0"/>
    <s v="No"/>
    <s v="-"/>
    <x v="0"/>
    <x v="0"/>
    <n v="10"/>
    <x v="2"/>
  </r>
  <r>
    <n v="3308"/>
    <s v="Quentin Ramos"/>
    <x v="1"/>
    <d v="2024-05-13T00:00:00"/>
    <s v="No"/>
    <n v="5"/>
    <x v="2"/>
    <s v="No"/>
    <s v="-"/>
    <x v="1"/>
    <x v="1"/>
    <n v="0"/>
    <x v="1"/>
  </r>
  <r>
    <n v="3309"/>
    <s v="Raquel Novaes"/>
    <x v="0"/>
    <d v="2024-05-14T00:00:00"/>
    <s v="Yes"/>
    <n v="15"/>
    <x v="0"/>
    <s v="Yes"/>
    <n v="30"/>
    <x v="0"/>
    <x v="0"/>
    <n v="3"/>
    <x v="3"/>
  </r>
  <r>
    <n v="3310"/>
    <s v="Samantha Lopes"/>
    <x v="2"/>
    <d v="2024-05-15T00:00:00"/>
    <s v="No"/>
    <n v="10"/>
    <x v="1"/>
    <s v="No"/>
    <s v="-"/>
    <x v="0"/>
    <x v="0"/>
    <n v="15"/>
    <x v="7"/>
  </r>
  <r>
    <n v="3311"/>
    <s v="Tiago Martins"/>
    <x v="1"/>
    <d v="2024-05-16T00:00:00"/>
    <s v="Yes"/>
    <n v="5"/>
    <x v="0"/>
    <s v="No"/>
    <s v="-"/>
    <x v="1"/>
    <x v="1"/>
    <n v="1"/>
    <x v="4"/>
  </r>
  <r>
    <n v="3312"/>
    <s v="Ulysses Guimarães"/>
    <x v="0"/>
    <d v="2024-05-17T00:00:00"/>
    <s v="No"/>
    <n v="15"/>
    <x v="2"/>
    <s v="Yes"/>
    <n v="30"/>
    <x v="0"/>
    <x v="0"/>
    <n v="7"/>
    <x v="12"/>
  </r>
  <r>
    <n v="3313"/>
    <s v="Vanessa Silva"/>
    <x v="2"/>
    <d v="2024-05-18T00:00:00"/>
    <s v="Yes"/>
    <n v="10"/>
    <x v="0"/>
    <s v="No"/>
    <s v="-"/>
    <x v="0"/>
    <x v="0"/>
    <n v="10"/>
    <x v="2"/>
  </r>
  <r>
    <n v="3314"/>
    <s v="William Carneiro"/>
    <x v="1"/>
    <d v="2024-05-19T00:00:00"/>
    <s v="No"/>
    <n v="5"/>
    <x v="1"/>
    <s v="No"/>
    <s v="-"/>
    <x v="1"/>
    <x v="1"/>
    <n v="0"/>
    <x v="1"/>
  </r>
  <r>
    <n v="3315"/>
    <s v="Ximena Rocha"/>
    <x v="0"/>
    <d v="2024-05-20T00:00:00"/>
    <s v="Yes"/>
    <n v="15"/>
    <x v="0"/>
    <s v="Yes"/>
    <n v="30"/>
    <x v="0"/>
    <x v="0"/>
    <n v="20"/>
    <x v="8"/>
  </r>
  <r>
    <n v="3316"/>
    <s v="Yasmin Figueiredo"/>
    <x v="2"/>
    <d v="2024-05-21T00:00:00"/>
    <s v="No"/>
    <n v="10"/>
    <x v="2"/>
    <s v="No"/>
    <s v="-"/>
    <x v="0"/>
    <x v="0"/>
    <n v="15"/>
    <x v="7"/>
  </r>
  <r>
    <n v="3317"/>
    <s v="Zara Cunha"/>
    <x v="1"/>
    <d v="2024-05-22T00:00:00"/>
    <s v="Yes"/>
    <n v="5"/>
    <x v="0"/>
    <s v="No"/>
    <s v="-"/>
    <x v="1"/>
    <x v="1"/>
    <n v="1"/>
    <x v="4"/>
  </r>
  <r>
    <n v="3318"/>
    <s v="Alan Teixeira"/>
    <x v="0"/>
    <d v="2024-05-23T00:00:00"/>
    <s v="No"/>
    <n v="15"/>
    <x v="1"/>
    <s v="Yes"/>
    <n v="30"/>
    <x v="0"/>
    <x v="0"/>
    <n v="3"/>
    <x v="3"/>
  </r>
  <r>
    <n v="3319"/>
    <s v="Bárbara Oliveira"/>
    <x v="2"/>
    <d v="2024-05-24T00:00:00"/>
    <s v="Yes"/>
    <n v="10"/>
    <x v="0"/>
    <s v="No"/>
    <s v="-"/>
    <x v="0"/>
    <x v="0"/>
    <n v="10"/>
    <x v="2"/>
  </r>
  <r>
    <n v="3320"/>
    <s v="Carlos Junqueira"/>
    <x v="1"/>
    <d v="2024-05-25T00:00:00"/>
    <s v="No"/>
    <n v="5"/>
    <x v="2"/>
    <s v="No"/>
    <s v="-"/>
    <x v="1"/>
    <x v="1"/>
    <n v="0"/>
    <x v="1"/>
  </r>
  <r>
    <n v="3321"/>
    <s v="Daniela Moura"/>
    <x v="0"/>
    <d v="2024-05-26T00:00:00"/>
    <s v="Yes"/>
    <n v="15"/>
    <x v="0"/>
    <s v="Yes"/>
    <n v="30"/>
    <x v="0"/>
    <x v="0"/>
    <n v="5"/>
    <x v="0"/>
  </r>
  <r>
    <n v="3322"/>
    <s v="Eduardo Lima"/>
    <x v="2"/>
    <d v="2024-05-27T00:00:00"/>
    <s v="No"/>
    <n v="10"/>
    <x v="1"/>
    <s v="No"/>
    <s v="-"/>
    <x v="0"/>
    <x v="0"/>
    <n v="15"/>
    <x v="7"/>
  </r>
  <r>
    <n v="3323"/>
    <s v="Fabiana Araújo"/>
    <x v="1"/>
    <d v="2024-05-28T00:00:00"/>
    <s v="Yes"/>
    <n v="5"/>
    <x v="0"/>
    <s v="No"/>
    <s v="-"/>
    <x v="1"/>
    <x v="1"/>
    <n v="1"/>
    <x v="4"/>
  </r>
  <r>
    <n v="3324"/>
    <s v="Geraldo Ribeiro"/>
    <x v="0"/>
    <d v="2024-05-29T00:00:00"/>
    <s v="No"/>
    <n v="15"/>
    <x v="2"/>
    <s v="Yes"/>
    <n v="30"/>
    <x v="0"/>
    <x v="0"/>
    <n v="20"/>
    <x v="8"/>
  </r>
  <r>
    <n v="3325"/>
    <s v="Héctor Vargas"/>
    <x v="2"/>
    <d v="2024-05-30T00:00:00"/>
    <s v="Yes"/>
    <n v="10"/>
    <x v="2"/>
    <s v="No"/>
    <s v="-"/>
    <x v="0"/>
    <x v="0"/>
    <n v="15"/>
    <x v="7"/>
  </r>
  <r>
    <n v="3326"/>
    <s v="Isabela Fonseca"/>
    <x v="1"/>
    <d v="2024-05-31T00:00:00"/>
    <s v="No"/>
    <n v="5"/>
    <x v="1"/>
    <s v="No"/>
    <s v="-"/>
    <x v="1"/>
    <x v="1"/>
    <n v="0"/>
    <x v="1"/>
  </r>
  <r>
    <n v="3327"/>
    <s v="João Pedro Almeida"/>
    <x v="0"/>
    <d v="2024-06-01T00:00:00"/>
    <s v="Yes"/>
    <n v="15"/>
    <x v="0"/>
    <s v="Yes"/>
    <n v="30"/>
    <x v="0"/>
    <x v="0"/>
    <n v="7"/>
    <x v="12"/>
  </r>
  <r>
    <n v="3328"/>
    <s v="Klara Costa"/>
    <x v="2"/>
    <d v="2024-06-02T00:00:00"/>
    <s v="No"/>
    <n v="10"/>
    <x v="1"/>
    <s v="No"/>
    <s v="-"/>
    <x v="0"/>
    <x v="0"/>
    <n v="10"/>
    <x v="2"/>
  </r>
  <r>
    <n v="3329"/>
    <s v="Luciana Mendes"/>
    <x v="1"/>
    <d v="2024-06-03T00:00:00"/>
    <s v="Yes"/>
    <n v="5"/>
    <x v="2"/>
    <s v="No"/>
    <s v="-"/>
    <x v="1"/>
    <x v="1"/>
    <n v="1"/>
    <x v="4"/>
  </r>
  <r>
    <n v="3330"/>
    <s v="Marcelo Gouveia"/>
    <x v="0"/>
    <d v="2024-06-04T00:00:00"/>
    <s v="No"/>
    <n v="15"/>
    <x v="0"/>
    <s v="Yes"/>
    <n v="30"/>
    <x v="0"/>
    <x v="0"/>
    <n v="15"/>
    <x v="14"/>
  </r>
  <r>
    <n v="3331"/>
    <s v="Nívea Borges"/>
    <x v="2"/>
    <d v="2024-06-05T00:00:00"/>
    <s v="Yes"/>
    <n v="10"/>
    <x v="0"/>
    <s v="No"/>
    <s v="-"/>
    <x v="0"/>
    <x v="0"/>
    <n v="5"/>
    <x v="13"/>
  </r>
  <r>
    <n v="3332"/>
    <s v="Oscar Nogueira"/>
    <x v="1"/>
    <d v="2024-06-06T00:00:00"/>
    <s v="No"/>
    <n v="5"/>
    <x v="1"/>
    <s v="No"/>
    <s v="-"/>
    <x v="1"/>
    <x v="1"/>
    <n v="0"/>
    <x v="1"/>
  </r>
  <r>
    <n v="3333"/>
    <s v="Patrícia Alves"/>
    <x v="0"/>
    <d v="2024-06-07T00:00:00"/>
    <s v="Yes"/>
    <n v="15"/>
    <x v="2"/>
    <s v="Yes"/>
    <n v="30"/>
    <x v="0"/>
    <x v="0"/>
    <n v="20"/>
    <x v="8"/>
  </r>
  <r>
    <n v="3334"/>
    <s v="Rafaela Silva"/>
    <x v="2"/>
    <d v="2024-06-08T00:00:00"/>
    <s v="No"/>
    <n v="10"/>
    <x v="2"/>
    <s v="No"/>
    <s v="-"/>
    <x v="0"/>
    <x v="0"/>
    <n v="12"/>
    <x v="10"/>
  </r>
  <r>
    <n v="3335"/>
    <s v="Samantha Moraes"/>
    <x v="1"/>
    <d v="2024-06-09T00:00:00"/>
    <s v="Yes"/>
    <n v="5"/>
    <x v="0"/>
    <s v="No"/>
    <s v="-"/>
    <x v="1"/>
    <x v="1"/>
    <n v="2"/>
    <x v="11"/>
  </r>
  <r>
    <n v="3336"/>
    <s v="Tatiana Rocha"/>
    <x v="1"/>
    <d v="2024-06-10T00:00:00"/>
    <s v="Yes"/>
    <n v="5"/>
    <x v="0"/>
    <s v="No"/>
    <s v="-"/>
    <x v="1"/>
    <x v="1"/>
    <n v="0"/>
    <x v="1"/>
  </r>
  <r>
    <n v="3337"/>
    <s v="Ulisses Tavares"/>
    <x v="0"/>
    <d v="2024-06-11T00:00:00"/>
    <s v="No"/>
    <n v="15"/>
    <x v="2"/>
    <s v="Yes"/>
    <n v="30"/>
    <x v="0"/>
    <x v="0"/>
    <n v="7"/>
    <x v="12"/>
  </r>
  <r>
    <n v="3338"/>
    <s v="Víctor Lemos"/>
    <x v="2"/>
    <d v="2024-06-12T00:00:00"/>
    <s v="Yes"/>
    <n v="10"/>
    <x v="1"/>
    <s v="No"/>
    <s v="-"/>
    <x v="0"/>
    <x v="0"/>
    <n v="10"/>
    <x v="2"/>
  </r>
  <r>
    <n v="3339"/>
    <s v="Wilma Barros"/>
    <x v="1"/>
    <d v="2024-06-13T00:00:00"/>
    <s v="No"/>
    <n v="5"/>
    <x v="2"/>
    <s v="No"/>
    <s v="-"/>
    <x v="1"/>
    <x v="1"/>
    <n v="1"/>
    <x v="4"/>
  </r>
  <r>
    <n v="3340"/>
    <s v="Xavier Nascimento"/>
    <x v="0"/>
    <d v="2024-06-14T00:00:00"/>
    <s v="Yes"/>
    <n v="15"/>
    <x v="0"/>
    <s v="Yes"/>
    <n v="30"/>
    <x v="0"/>
    <x v="0"/>
    <n v="15"/>
    <x v="14"/>
  </r>
  <r>
    <n v="3341"/>
    <s v="Yago Pereira"/>
    <x v="2"/>
    <d v="2024-06-15T00:00:00"/>
    <s v="No"/>
    <n v="10"/>
    <x v="0"/>
    <s v="No"/>
    <s v="-"/>
    <x v="0"/>
    <x v="0"/>
    <n v="5"/>
    <x v="13"/>
  </r>
  <r>
    <n v="3342"/>
    <s v="Zilda Ferreira"/>
    <x v="1"/>
    <d v="2024-06-16T00:00:00"/>
    <s v="Yes"/>
    <n v="5"/>
    <x v="1"/>
    <s v="No"/>
    <s v="-"/>
    <x v="1"/>
    <x v="1"/>
    <n v="0"/>
    <x v="1"/>
  </r>
  <r>
    <n v="3343"/>
    <s v="Amanda Lopes"/>
    <x v="0"/>
    <d v="2024-06-17T00:00:00"/>
    <s v="No"/>
    <n v="15"/>
    <x v="2"/>
    <s v="Yes"/>
    <n v="30"/>
    <x v="0"/>
    <x v="0"/>
    <n v="20"/>
    <x v="8"/>
  </r>
  <r>
    <n v="3344"/>
    <s v="Bruno Miranda"/>
    <x v="2"/>
    <d v="2024-06-18T00:00:00"/>
    <s v="Yes"/>
    <n v="10"/>
    <x v="2"/>
    <s v="No"/>
    <s v="-"/>
    <x v="0"/>
    <x v="0"/>
    <n v="12"/>
    <x v="10"/>
  </r>
  <r>
    <n v="3345"/>
    <s v="Célia Torres"/>
    <x v="1"/>
    <d v="2024-06-19T00:00:00"/>
    <s v="No"/>
    <n v="5"/>
    <x v="0"/>
    <s v="No"/>
    <s v="-"/>
    <x v="1"/>
    <x v="1"/>
    <n v="2"/>
    <x v="11"/>
  </r>
  <r>
    <n v="3346"/>
    <s v="Diogo Souza"/>
    <x v="0"/>
    <d v="2024-06-20T00:00:00"/>
    <s v="Yes"/>
    <n v="15"/>
    <x v="1"/>
    <s v="Yes"/>
    <n v="30"/>
    <x v="0"/>
    <x v="0"/>
    <n v="5"/>
    <x v="0"/>
  </r>
  <r>
    <n v="3347"/>
    <s v="Elisa Castro"/>
    <x v="2"/>
    <d v="2024-06-21T00:00:00"/>
    <s v="No"/>
    <n v="10"/>
    <x v="0"/>
    <s v="No"/>
    <s v="-"/>
    <x v="0"/>
    <x v="0"/>
    <n v="10"/>
    <x v="2"/>
  </r>
  <r>
    <n v="3348"/>
    <s v="Fátima Lima"/>
    <x v="1"/>
    <d v="2024-06-22T00:00:00"/>
    <s v="Yes"/>
    <n v="5"/>
    <x v="2"/>
    <s v="No"/>
    <s v="-"/>
    <x v="1"/>
    <x v="1"/>
    <n v="0"/>
    <x v="1"/>
  </r>
  <r>
    <n v="3349"/>
    <s v="Geraldo Ribeiro"/>
    <x v="0"/>
    <d v="2024-06-23T00:00:00"/>
    <s v="No"/>
    <n v="15"/>
    <x v="0"/>
    <s v="Yes"/>
    <n v="30"/>
    <x v="0"/>
    <x v="0"/>
    <n v="3"/>
    <x v="3"/>
  </r>
  <r>
    <n v="3350"/>
    <s v="Hélio Martins"/>
    <x v="2"/>
    <d v="2024-06-24T00:00:00"/>
    <s v="Yes"/>
    <n v="10"/>
    <x v="1"/>
    <s v="No"/>
    <s v="-"/>
    <x v="0"/>
    <x v="0"/>
    <n v="15"/>
    <x v="7"/>
  </r>
  <r>
    <n v="3351"/>
    <s v="Íris Santos"/>
    <x v="1"/>
    <d v="2024-06-25T00:00:00"/>
    <s v="No"/>
    <n v="5"/>
    <x v="0"/>
    <s v="No"/>
    <s v="-"/>
    <x v="1"/>
    <x v="1"/>
    <n v="1"/>
    <x v="4"/>
  </r>
  <r>
    <n v="3352"/>
    <s v="João Marcelo"/>
    <x v="0"/>
    <d v="2024-06-26T00:00:00"/>
    <s v="Yes"/>
    <n v="15"/>
    <x v="2"/>
    <s v="Yes"/>
    <n v="30"/>
    <x v="0"/>
    <x v="0"/>
    <n v="7"/>
    <x v="12"/>
  </r>
  <r>
    <n v="3353"/>
    <s v="Larissa Gomes"/>
    <x v="2"/>
    <d v="2024-06-27T00:00:00"/>
    <s v="No"/>
    <n v="10"/>
    <x v="0"/>
    <s v="No"/>
    <s v="-"/>
    <x v="0"/>
    <x v="0"/>
    <n v="10"/>
    <x v="2"/>
  </r>
  <r>
    <n v="3354"/>
    <s v="Márcio Silva"/>
    <x v="1"/>
    <d v="2024-06-28T00:00:00"/>
    <s v="Yes"/>
    <n v="5"/>
    <x v="1"/>
    <s v="No"/>
    <s v="-"/>
    <x v="1"/>
    <x v="1"/>
    <n v="0"/>
    <x v="1"/>
  </r>
  <r>
    <n v="3355"/>
    <s v="Nadia Costa"/>
    <x v="0"/>
    <d v="2024-06-29T00:00:00"/>
    <s v="No"/>
    <n v="15"/>
    <x v="0"/>
    <s v="Yes"/>
    <n v="30"/>
    <x v="0"/>
    <x v="0"/>
    <n v="20"/>
    <x v="8"/>
  </r>
  <r>
    <n v="3356"/>
    <s v="Oscar Almeida"/>
    <x v="2"/>
    <d v="2024-06-30T00:00:00"/>
    <s v="Yes"/>
    <n v="10"/>
    <x v="2"/>
    <s v="No"/>
    <s v="-"/>
    <x v="0"/>
    <x v="0"/>
    <n v="15"/>
    <x v="7"/>
  </r>
  <r>
    <n v="3357"/>
    <s v="Patricia Soares"/>
    <x v="1"/>
    <d v="2024-07-01T00:00:00"/>
    <s v="No"/>
    <n v="5"/>
    <x v="0"/>
    <s v="No"/>
    <s v="-"/>
    <x v="1"/>
    <x v="1"/>
    <n v="1"/>
    <x v="4"/>
  </r>
  <r>
    <n v="3358"/>
    <s v="Quênia Barros"/>
    <x v="0"/>
    <d v="2024-07-02T00:00:00"/>
    <s v="Yes"/>
    <n v="15"/>
    <x v="1"/>
    <s v="Yes"/>
    <n v="30"/>
    <x v="0"/>
    <x v="0"/>
    <n v="3"/>
    <x v="3"/>
  </r>
  <r>
    <n v="3359"/>
    <s v="Rafael Torres"/>
    <x v="2"/>
    <d v="2024-07-03T00:00:00"/>
    <s v="No"/>
    <n v="10"/>
    <x v="0"/>
    <s v="No"/>
    <s v="-"/>
    <x v="0"/>
    <x v="0"/>
    <n v="10"/>
    <x v="2"/>
  </r>
  <r>
    <n v="3360"/>
    <s v="Silvia Nascimento"/>
    <x v="1"/>
    <d v="2024-07-04T00:00:00"/>
    <s v="Yes"/>
    <n v="5"/>
    <x v="2"/>
    <s v="No"/>
    <s v="-"/>
    <x v="1"/>
    <x v="1"/>
    <n v="0"/>
    <x v="1"/>
  </r>
  <r>
    <n v="3361"/>
    <s v="Tiago Mendes"/>
    <x v="0"/>
    <d v="2024-07-05T00:00:00"/>
    <s v="No"/>
    <n v="15"/>
    <x v="0"/>
    <s v="Yes"/>
    <n v="30"/>
    <x v="0"/>
    <x v="0"/>
    <n v="15"/>
    <x v="14"/>
  </r>
  <r>
    <n v="3362"/>
    <s v="Ursula Silva"/>
    <x v="2"/>
    <d v="2024-07-06T00:00:00"/>
    <s v="Yes"/>
    <n v="10"/>
    <x v="1"/>
    <s v="No"/>
    <s v="-"/>
    <x v="0"/>
    <x v="0"/>
    <n v="15"/>
    <x v="7"/>
  </r>
  <r>
    <n v="3363"/>
    <s v="Vanessa Moraes"/>
    <x v="1"/>
    <d v="2024-07-07T00:00:00"/>
    <s v="No"/>
    <n v="5"/>
    <x v="0"/>
    <s v="No"/>
    <s v="-"/>
    <x v="1"/>
    <x v="1"/>
    <n v="1"/>
    <x v="4"/>
  </r>
  <r>
    <n v="3364"/>
    <s v="Waldir Junior"/>
    <x v="0"/>
    <d v="2024-07-08T00:00:00"/>
    <s v="Yes"/>
    <n v="15"/>
    <x v="2"/>
    <s v="Yes"/>
    <n v="30"/>
    <x v="0"/>
    <x v="0"/>
    <n v="7"/>
    <x v="12"/>
  </r>
  <r>
    <n v="3365"/>
    <s v="Xavier Lopes"/>
    <x v="2"/>
    <d v="2024-07-09T00:00:00"/>
    <s v="No"/>
    <n v="10"/>
    <x v="0"/>
    <s v="No"/>
    <s v="-"/>
    <x v="0"/>
    <x v="0"/>
    <n v="10"/>
    <x v="2"/>
  </r>
  <r>
    <n v="3366"/>
    <s v="Yolanda Freitas"/>
    <x v="1"/>
    <d v="2024-07-10T00:00:00"/>
    <s v="Yes"/>
    <n v="5"/>
    <x v="0"/>
    <s v="No"/>
    <s v="-"/>
    <x v="1"/>
    <x v="1"/>
    <n v="0"/>
    <x v="1"/>
  </r>
  <r>
    <n v="3367"/>
    <s v="Zacarias Nunes"/>
    <x v="0"/>
    <d v="2024-07-11T00:00:00"/>
    <s v="No"/>
    <n v="15"/>
    <x v="2"/>
    <s v="Yes"/>
    <n v="30"/>
    <x v="0"/>
    <x v="0"/>
    <n v="7"/>
    <x v="12"/>
  </r>
  <r>
    <n v="3368"/>
    <s v="Ana Clara Barreto"/>
    <x v="2"/>
    <d v="2024-07-12T00:00:00"/>
    <s v="Yes"/>
    <n v="10"/>
    <x v="1"/>
    <s v="No"/>
    <s v="-"/>
    <x v="0"/>
    <x v="0"/>
    <n v="10"/>
    <x v="2"/>
  </r>
  <r>
    <n v="3369"/>
    <s v="Bruno Henrique"/>
    <x v="1"/>
    <d v="2024-07-13T00:00:00"/>
    <s v="No"/>
    <n v="5"/>
    <x v="2"/>
    <s v="No"/>
    <s v="-"/>
    <x v="1"/>
    <x v="1"/>
    <n v="1"/>
    <x v="4"/>
  </r>
  <r>
    <n v="3370"/>
    <s v="Carlos Eduardo"/>
    <x v="0"/>
    <d v="2024-07-14T00:00:00"/>
    <s v="Yes"/>
    <n v="15"/>
    <x v="0"/>
    <s v="Yes"/>
    <n v="30"/>
    <x v="0"/>
    <x v="0"/>
    <n v="15"/>
    <x v="14"/>
  </r>
  <r>
    <n v="3371"/>
    <s v="Débora Lima"/>
    <x v="2"/>
    <d v="2024-07-15T00:00:00"/>
    <s v="No"/>
    <n v="10"/>
    <x v="0"/>
    <s v="No"/>
    <s v="-"/>
    <x v="0"/>
    <x v="0"/>
    <n v="5"/>
    <x v="13"/>
  </r>
  <r>
    <n v="3372"/>
    <s v="Elisa Neves"/>
    <x v="1"/>
    <d v="2024-07-16T00:00:00"/>
    <s v="Yes"/>
    <n v="5"/>
    <x v="1"/>
    <s v="No"/>
    <s v="-"/>
    <x v="1"/>
    <x v="1"/>
    <n v="0"/>
    <x v="1"/>
  </r>
  <r>
    <n v="3373"/>
    <s v="Fabiano Gomes"/>
    <x v="0"/>
    <d v="2024-07-17T00:00:00"/>
    <s v="No"/>
    <n v="15"/>
    <x v="2"/>
    <s v="Yes"/>
    <n v="30"/>
    <x v="0"/>
    <x v="0"/>
    <n v="20"/>
    <x v="8"/>
  </r>
  <r>
    <n v="3374"/>
    <s v="Gisele Oliveira"/>
    <x v="2"/>
    <d v="2024-07-18T00:00:00"/>
    <s v="Yes"/>
    <n v="10"/>
    <x v="2"/>
    <s v="No"/>
    <s v="-"/>
    <x v="0"/>
    <x v="0"/>
    <n v="12"/>
    <x v="10"/>
  </r>
  <r>
    <n v="3375"/>
    <s v="Héctor Silva"/>
    <x v="1"/>
    <d v="2024-07-19T00:00:00"/>
    <s v="No"/>
    <n v="5"/>
    <x v="0"/>
    <s v="No"/>
    <s v="-"/>
    <x v="1"/>
    <x v="1"/>
    <n v="2"/>
    <x v="11"/>
  </r>
  <r>
    <n v="3376"/>
    <s v="Igor Martins"/>
    <x v="0"/>
    <d v="2024-07-20T00:00:00"/>
    <s v="Yes"/>
    <n v="15"/>
    <x v="1"/>
    <s v="Yes"/>
    <n v="30"/>
    <x v="0"/>
    <x v="0"/>
    <n v="5"/>
    <x v="0"/>
  </r>
  <r>
    <n v="3377"/>
    <s v="Joana Figueiredo"/>
    <x v="2"/>
    <d v="2024-07-21T00:00:00"/>
    <s v="No"/>
    <n v="10"/>
    <x v="0"/>
    <s v="No"/>
    <s v="-"/>
    <x v="0"/>
    <x v="0"/>
    <n v="10"/>
    <x v="2"/>
  </r>
  <r>
    <n v="3378"/>
    <s v="Kleber Machado"/>
    <x v="1"/>
    <d v="2024-07-22T00:00:00"/>
    <s v="Yes"/>
    <n v="5"/>
    <x v="2"/>
    <s v="No"/>
    <s v="-"/>
    <x v="1"/>
    <x v="1"/>
    <n v="0"/>
    <x v="1"/>
  </r>
  <r>
    <n v="3379"/>
    <s v="Luciana Santos"/>
    <x v="0"/>
    <d v="2024-07-23T00:00:00"/>
    <s v="No"/>
    <n v="15"/>
    <x v="0"/>
    <s v="Yes"/>
    <n v="30"/>
    <x v="0"/>
    <x v="0"/>
    <n v="3"/>
    <x v="3"/>
  </r>
  <r>
    <n v="3380"/>
    <s v="Marcos Teixeira"/>
    <x v="2"/>
    <d v="2024-07-24T00:00:00"/>
    <s v="Yes"/>
    <n v="10"/>
    <x v="1"/>
    <s v="No"/>
    <s v="-"/>
    <x v="0"/>
    <x v="0"/>
    <n v="15"/>
    <x v="7"/>
  </r>
  <r>
    <n v="3381"/>
    <s v="Natalia Costa"/>
    <x v="1"/>
    <d v="2024-07-25T00:00:00"/>
    <s v="No"/>
    <n v="5"/>
    <x v="0"/>
    <s v="No"/>
    <s v="-"/>
    <x v="1"/>
    <x v="1"/>
    <n v="1"/>
    <x v="4"/>
  </r>
  <r>
    <n v="3382"/>
    <s v="Oscar Ribeiro"/>
    <x v="0"/>
    <d v="2024-07-26T00:00:00"/>
    <s v="Yes"/>
    <n v="15"/>
    <x v="2"/>
    <s v="Yes"/>
    <n v="30"/>
    <x v="0"/>
    <x v="0"/>
    <n v="7"/>
    <x v="12"/>
  </r>
  <r>
    <n v="3383"/>
    <s v="Patricia Almeida"/>
    <x v="2"/>
    <d v="2024-07-27T00:00:00"/>
    <s v="No"/>
    <n v="10"/>
    <x v="0"/>
    <s v="No"/>
    <s v="-"/>
    <x v="0"/>
    <x v="0"/>
    <n v="10"/>
    <x v="2"/>
  </r>
  <r>
    <n v="3384"/>
    <s v="Quirino Junior"/>
    <x v="1"/>
    <d v="2024-07-28T00:00:00"/>
    <s v="Yes"/>
    <n v="5"/>
    <x v="1"/>
    <s v="No"/>
    <s v="-"/>
    <x v="1"/>
    <x v="1"/>
    <n v="0"/>
    <x v="1"/>
  </r>
  <r>
    <n v="3385"/>
    <s v="Renata Machado"/>
    <x v="0"/>
    <d v="2024-07-29T00:00:00"/>
    <s v="No"/>
    <n v="15"/>
    <x v="0"/>
    <s v="Yes"/>
    <n v="30"/>
    <x v="0"/>
    <x v="0"/>
    <n v="20"/>
    <x v="8"/>
  </r>
  <r>
    <n v="3386"/>
    <s v="Sônia Alves"/>
    <x v="2"/>
    <d v="2024-07-30T00:00:00"/>
    <s v="Yes"/>
    <n v="10"/>
    <x v="2"/>
    <s v="No"/>
    <s v="-"/>
    <x v="0"/>
    <x v="0"/>
    <n v="15"/>
    <x v="7"/>
  </r>
  <r>
    <n v="3387"/>
    <s v="Tiago Nunes"/>
    <x v="1"/>
    <d v="2024-07-31T00:00:00"/>
    <s v="No"/>
    <n v="5"/>
    <x v="0"/>
    <s v="No"/>
    <s v="-"/>
    <x v="1"/>
    <x v="1"/>
    <n v="1"/>
    <x v="4"/>
  </r>
  <r>
    <n v="3388"/>
    <s v="Ulysses Pereira"/>
    <x v="0"/>
    <d v="2024-08-01T00:00:00"/>
    <s v="Yes"/>
    <n v="15"/>
    <x v="1"/>
    <s v="Yes"/>
    <n v="30"/>
    <x v="0"/>
    <x v="0"/>
    <n v="3"/>
    <x v="3"/>
  </r>
  <r>
    <n v="3389"/>
    <s v="Vanessa Lima"/>
    <x v="2"/>
    <d v="2024-08-02T00:00:00"/>
    <s v="No"/>
    <n v="10"/>
    <x v="0"/>
    <s v="No"/>
    <s v="-"/>
    <x v="0"/>
    <x v="0"/>
    <n v="10"/>
    <x v="2"/>
  </r>
  <r>
    <n v="3390"/>
    <s v="Wagner Santos"/>
    <x v="1"/>
    <d v="2024-08-03T00:00:00"/>
    <s v="Yes"/>
    <n v="5"/>
    <x v="2"/>
    <s v="No"/>
    <s v="-"/>
    <x v="1"/>
    <x v="1"/>
    <n v="0"/>
    <x v="1"/>
  </r>
  <r>
    <n v="3391"/>
    <s v="Xuxa Meneghel"/>
    <x v="0"/>
    <d v="2024-08-04T00:00:00"/>
    <s v="No"/>
    <n v="15"/>
    <x v="0"/>
    <s v="Yes"/>
    <n v="30"/>
    <x v="0"/>
    <x v="0"/>
    <n v="15"/>
    <x v="14"/>
  </r>
  <r>
    <n v="3392"/>
    <s v="Yasmin Silva"/>
    <x v="2"/>
    <d v="2024-08-05T00:00:00"/>
    <s v="Yes"/>
    <n v="10"/>
    <x v="1"/>
    <s v="No"/>
    <s v="-"/>
    <x v="0"/>
    <x v="0"/>
    <n v="15"/>
    <x v="7"/>
  </r>
  <r>
    <n v="3393"/>
    <s v="Zacarias de Souza"/>
    <x v="1"/>
    <d v="2024-08-06T00:00:00"/>
    <s v="No"/>
    <n v="5"/>
    <x v="0"/>
    <s v="No"/>
    <s v="-"/>
    <x v="1"/>
    <x v="1"/>
    <n v="1"/>
    <x v="4"/>
  </r>
  <r>
    <n v="3394"/>
    <s v="André Lima"/>
    <x v="0"/>
    <d v="2024-08-07T00:00:00"/>
    <s v="Yes"/>
    <n v="15"/>
    <x v="2"/>
    <s v="Yes"/>
    <n v="30"/>
    <x v="0"/>
    <x v="0"/>
    <n v="7"/>
    <x v="12"/>
  </r>
  <r>
    <n v="3395"/>
    <s v="Bianca Freitas"/>
    <x v="2"/>
    <d v="2024-08-08T00:00:00"/>
    <s v="No"/>
    <n v="10"/>
    <x v="0"/>
    <s v="No"/>
    <s v="-"/>
    <x v="0"/>
    <x v="0"/>
    <n v="10"/>
    <x v="2"/>
  </r>
  <r>
    <n v="3396"/>
    <s v="Caio Mendes"/>
    <x v="1"/>
    <d v="2024-08-09T00:00:00"/>
    <s v="Yes"/>
    <n v="5"/>
    <x v="1"/>
    <s v="No"/>
    <s v="-"/>
    <x v="1"/>
    <x v="1"/>
    <n v="0"/>
    <x v="1"/>
  </r>
  <r>
    <n v="3397"/>
    <s v="Daniela Moura"/>
    <x v="0"/>
    <d v="2024-08-10T00:00:00"/>
    <s v="No"/>
    <n v="15"/>
    <x v="0"/>
    <s v="Yes"/>
    <n v="30"/>
    <x v="0"/>
    <x v="0"/>
    <n v="20"/>
    <x v="8"/>
  </r>
  <r>
    <n v="3398"/>
    <s v="Eduardo Costa"/>
    <x v="2"/>
    <d v="2024-08-11T00:00:00"/>
    <s v="Yes"/>
    <n v="10"/>
    <x v="2"/>
    <s v="No"/>
    <s v="-"/>
    <x v="0"/>
    <x v="0"/>
    <n v="15"/>
    <x v="7"/>
  </r>
  <r>
    <n v="3399"/>
    <s v="Fernanda Gomes"/>
    <x v="1"/>
    <d v="2024-08-12T00:00:00"/>
    <s v="No"/>
    <n v="5"/>
    <x v="0"/>
    <s v="No"/>
    <s v="-"/>
    <x v="1"/>
    <x v="1"/>
    <n v="1"/>
    <x v="4"/>
  </r>
  <r>
    <n v="3400"/>
    <s v="Guilherme Souza"/>
    <x v="0"/>
    <d v="2024-08-13T00:00:00"/>
    <s v="Yes"/>
    <n v="15"/>
    <x v="1"/>
    <s v="Yes"/>
    <n v="30"/>
    <x v="0"/>
    <x v="0"/>
    <n v="5"/>
    <x v="0"/>
  </r>
  <r>
    <n v="3401"/>
    <s v="Helena Ribeiro"/>
    <x v="2"/>
    <d v="2024-08-14T00:00:00"/>
    <s v="No"/>
    <n v="10"/>
    <x v="0"/>
    <s v="No"/>
    <s v="-"/>
    <x v="0"/>
    <x v="0"/>
    <n v="10"/>
    <x v="2"/>
  </r>
  <r>
    <n v="3402"/>
    <s v="Igor Santos"/>
    <x v="1"/>
    <d v="2024-08-15T00:00:00"/>
    <s v="Yes"/>
    <n v="5"/>
    <x v="2"/>
    <s v="No"/>
    <s v="-"/>
    <x v="1"/>
    <x v="1"/>
    <n v="0"/>
    <x v="1"/>
  </r>
  <r>
    <n v="3403"/>
    <s v="João Carvalho"/>
    <x v="0"/>
    <d v="2024-08-16T00:00:00"/>
    <s v="No"/>
    <n v="15"/>
    <x v="0"/>
    <s v="Yes"/>
    <n v="30"/>
    <x v="0"/>
    <x v="0"/>
    <n v="3"/>
    <x v="3"/>
  </r>
  <r>
    <n v="3404"/>
    <s v="Klara Fagundes"/>
    <x v="2"/>
    <d v="2024-08-17T00:00:00"/>
    <s v="Yes"/>
    <n v="10"/>
    <x v="1"/>
    <s v="No"/>
    <s v="-"/>
    <x v="0"/>
    <x v="0"/>
    <n v="15"/>
    <x v="7"/>
  </r>
  <r>
    <n v="3405"/>
    <s v="Lúcia Mendonça"/>
    <x v="1"/>
    <d v="2024-08-18T00:00:00"/>
    <s v="No"/>
    <n v="5"/>
    <x v="0"/>
    <s v="No"/>
    <s v="-"/>
    <x v="1"/>
    <x v="1"/>
    <n v="1"/>
    <x v="4"/>
  </r>
  <r>
    <n v="3406"/>
    <s v="Marcelo Novaes"/>
    <x v="1"/>
    <d v="2024-08-19T00:00:00"/>
    <s v="Yes"/>
    <n v="5"/>
    <x v="0"/>
    <s v="No"/>
    <s v="-"/>
    <x v="1"/>
    <x v="1"/>
    <n v="0"/>
    <x v="1"/>
  </r>
  <r>
    <n v="3407"/>
    <s v="Nina Pacheco"/>
    <x v="0"/>
    <d v="2024-08-20T00:00:00"/>
    <s v="No"/>
    <n v="15"/>
    <x v="2"/>
    <s v="Yes"/>
    <n v="30"/>
    <x v="0"/>
    <x v="0"/>
    <n v="7"/>
    <x v="12"/>
  </r>
  <r>
    <n v="3408"/>
    <s v="Olívia Rios"/>
    <x v="2"/>
    <d v="2024-08-21T00:00:00"/>
    <s v="Yes"/>
    <n v="10"/>
    <x v="1"/>
    <s v="No"/>
    <s v="-"/>
    <x v="0"/>
    <x v="0"/>
    <n v="10"/>
    <x v="2"/>
  </r>
  <r>
    <n v="3409"/>
    <s v="Paulo Quintana"/>
    <x v="1"/>
    <d v="2024-08-22T00:00:00"/>
    <s v="No"/>
    <n v="5"/>
    <x v="2"/>
    <s v="No"/>
    <s v="-"/>
    <x v="1"/>
    <x v="1"/>
    <n v="1"/>
    <x v="4"/>
  </r>
  <r>
    <n v="3410"/>
    <s v="Raquel Domingos"/>
    <x v="0"/>
    <d v="2024-08-23T00:00:00"/>
    <s v="Yes"/>
    <n v="15"/>
    <x v="0"/>
    <s v="Yes"/>
    <n v="30"/>
    <x v="0"/>
    <x v="0"/>
    <n v="15"/>
    <x v="14"/>
  </r>
  <r>
    <n v="3411"/>
    <s v="Samuel Viana"/>
    <x v="2"/>
    <d v="2024-08-24T00:00:00"/>
    <s v="No"/>
    <n v="10"/>
    <x v="0"/>
    <s v="No"/>
    <s v="-"/>
    <x v="0"/>
    <x v="0"/>
    <n v="5"/>
    <x v="13"/>
  </r>
  <r>
    <n v="3412"/>
    <s v="Tatiane Rocha"/>
    <x v="1"/>
    <d v="2024-08-25T00:00:00"/>
    <s v="Yes"/>
    <n v="5"/>
    <x v="1"/>
    <s v="No"/>
    <s v="-"/>
    <x v="1"/>
    <x v="1"/>
    <n v="0"/>
    <x v="1"/>
  </r>
  <r>
    <n v="3413"/>
    <s v="Ulysses Farias"/>
    <x v="0"/>
    <d v="2024-08-26T00:00:00"/>
    <s v="No"/>
    <n v="15"/>
    <x v="2"/>
    <s v="Yes"/>
    <n v="30"/>
    <x v="0"/>
    <x v="0"/>
    <n v="20"/>
    <x v="8"/>
  </r>
  <r>
    <n v="3414"/>
    <s v="Vanessa Moreira"/>
    <x v="2"/>
    <d v="2024-08-27T00:00:00"/>
    <s v="Yes"/>
    <n v="10"/>
    <x v="2"/>
    <s v="No"/>
    <s v="-"/>
    <x v="0"/>
    <x v="0"/>
    <n v="12"/>
    <x v="10"/>
  </r>
  <r>
    <n v="3415"/>
    <s v="William Carvalho"/>
    <x v="1"/>
    <d v="2024-08-28T00:00:00"/>
    <s v="No"/>
    <n v="5"/>
    <x v="0"/>
    <s v="No"/>
    <s v="-"/>
    <x v="1"/>
    <x v="1"/>
    <n v="2"/>
    <x v="11"/>
  </r>
  <r>
    <n v="3416"/>
    <s v="Ximena Barros"/>
    <x v="0"/>
    <d v="2024-08-29T00:00:00"/>
    <s v="Yes"/>
    <n v="15"/>
    <x v="1"/>
    <s v="Yes"/>
    <n v="30"/>
    <x v="0"/>
    <x v="0"/>
    <n v="5"/>
    <x v="0"/>
  </r>
  <r>
    <n v="3417"/>
    <s v="Yara Machado"/>
    <x v="2"/>
    <d v="2024-08-30T00:00:00"/>
    <s v="No"/>
    <n v="10"/>
    <x v="0"/>
    <s v="No"/>
    <s v="-"/>
    <x v="0"/>
    <x v="0"/>
    <n v="10"/>
    <x v="2"/>
  </r>
  <r>
    <n v="3418"/>
    <s v="Zacarias Costa"/>
    <x v="1"/>
    <d v="2024-08-31T00:00:00"/>
    <s v="Yes"/>
    <n v="5"/>
    <x v="2"/>
    <s v="No"/>
    <s v="-"/>
    <x v="1"/>
    <x v="1"/>
    <n v="0"/>
    <x v="1"/>
  </r>
  <r>
    <n v="3419"/>
    <s v="André Lopes"/>
    <x v="0"/>
    <d v="2024-09-01T00:00:00"/>
    <s v="No"/>
    <n v="15"/>
    <x v="0"/>
    <s v="Yes"/>
    <n v="30"/>
    <x v="0"/>
    <x v="0"/>
    <n v="3"/>
    <x v="3"/>
  </r>
  <r>
    <n v="3420"/>
    <s v="Beatriz Souza"/>
    <x v="2"/>
    <d v="2024-09-02T00:00:00"/>
    <s v="Yes"/>
    <n v="10"/>
    <x v="1"/>
    <s v="No"/>
    <s v="-"/>
    <x v="0"/>
    <x v="0"/>
    <n v="15"/>
    <x v="7"/>
  </r>
  <r>
    <n v="3421"/>
    <s v="Caio Pereira"/>
    <x v="1"/>
    <d v="2024-09-03T00:00:00"/>
    <s v="No"/>
    <n v="5"/>
    <x v="0"/>
    <s v="No"/>
    <s v="-"/>
    <x v="1"/>
    <x v="1"/>
    <n v="1"/>
    <x v="4"/>
  </r>
  <r>
    <n v="3422"/>
    <s v="Daniela Araújo"/>
    <x v="0"/>
    <d v="2024-09-04T00:00:00"/>
    <s v="Yes"/>
    <n v="15"/>
    <x v="2"/>
    <s v="Yes"/>
    <n v="30"/>
    <x v="0"/>
    <x v="0"/>
    <n v="7"/>
    <x v="12"/>
  </r>
  <r>
    <n v="3423"/>
    <s v="Eduardo Santos"/>
    <x v="2"/>
    <d v="2024-09-05T00:00:00"/>
    <s v="No"/>
    <n v="10"/>
    <x v="0"/>
    <s v="No"/>
    <s v="-"/>
    <x v="0"/>
    <x v="0"/>
    <n v="10"/>
    <x v="2"/>
  </r>
  <r>
    <n v="3424"/>
    <s v="Fernanda Lima"/>
    <x v="1"/>
    <d v="2024-09-06T00:00:00"/>
    <s v="Yes"/>
    <n v="5"/>
    <x v="1"/>
    <s v="No"/>
    <s v="-"/>
    <x v="1"/>
    <x v="1"/>
    <n v="0"/>
    <x v="1"/>
  </r>
  <r>
    <n v="3425"/>
    <s v="Gabriel Teixeira"/>
    <x v="0"/>
    <d v="2024-09-07T00:00:00"/>
    <s v="No"/>
    <n v="15"/>
    <x v="0"/>
    <s v="Yes"/>
    <n v="30"/>
    <x v="0"/>
    <x v="0"/>
    <n v="20"/>
    <x v="8"/>
  </r>
  <r>
    <n v="3426"/>
    <s v="Helena Ribeiro"/>
    <x v="2"/>
    <d v="2024-09-08T00:00:00"/>
    <s v="Yes"/>
    <n v="10"/>
    <x v="2"/>
    <s v="No"/>
    <s v="-"/>
    <x v="0"/>
    <x v="0"/>
    <n v="15"/>
    <x v="7"/>
  </r>
  <r>
    <n v="3427"/>
    <s v="Igor Mendes"/>
    <x v="1"/>
    <d v="2024-09-09T00:00:00"/>
    <s v="No"/>
    <n v="5"/>
    <x v="0"/>
    <s v="No"/>
    <s v="-"/>
    <x v="1"/>
    <x v="1"/>
    <n v="1"/>
    <x v="4"/>
  </r>
  <r>
    <n v="3428"/>
    <s v="Joana Silveira"/>
    <x v="0"/>
    <d v="2024-09-10T00:00:00"/>
    <s v="Yes"/>
    <n v="15"/>
    <x v="1"/>
    <s v="Yes"/>
    <n v="30"/>
    <x v="0"/>
    <x v="0"/>
    <n v="3"/>
    <x v="3"/>
  </r>
  <r>
    <n v="3429"/>
    <s v="Lucas Martins"/>
    <x v="2"/>
    <d v="2024-09-11T00:00:00"/>
    <s v="No"/>
    <n v="10"/>
    <x v="0"/>
    <s v="No"/>
    <s v="-"/>
    <x v="0"/>
    <x v="0"/>
    <n v="10"/>
    <x v="2"/>
  </r>
  <r>
    <n v="3430"/>
    <s v="Marcela Gouveia"/>
    <x v="1"/>
    <d v="2024-09-12T00:00:00"/>
    <s v="Yes"/>
    <n v="5"/>
    <x v="2"/>
    <s v="No"/>
    <s v="-"/>
    <x v="1"/>
    <x v="1"/>
    <n v="0"/>
    <x v="1"/>
  </r>
  <r>
    <n v="3431"/>
    <s v="Nicolas Borges"/>
    <x v="0"/>
    <d v="2024-09-13T00:00:00"/>
    <s v="No"/>
    <n v="15"/>
    <x v="0"/>
    <s v="Yes"/>
    <n v="30"/>
    <x v="0"/>
    <x v="0"/>
    <n v="15"/>
    <x v="14"/>
  </r>
  <r>
    <n v="3432"/>
    <s v="Olivia Freitas"/>
    <x v="2"/>
    <d v="2024-09-14T00:00:00"/>
    <s v="Yes"/>
    <n v="10"/>
    <x v="1"/>
    <s v="No"/>
    <s v="-"/>
    <x v="0"/>
    <x v="0"/>
    <n v="15"/>
    <x v="7"/>
  </r>
  <r>
    <n v="3433"/>
    <s v="Paulo Nogueira"/>
    <x v="1"/>
    <d v="2024-09-15T00:00:00"/>
    <s v="No"/>
    <n v="5"/>
    <x v="0"/>
    <s v="No"/>
    <s v="-"/>
    <x v="1"/>
    <x v="1"/>
    <n v="1"/>
    <x v="4"/>
  </r>
  <r>
    <n v="3434"/>
    <s v="Raquel Andrade"/>
    <x v="0"/>
    <d v="2024-09-16T00:00:00"/>
    <s v="Yes"/>
    <n v="15"/>
    <x v="2"/>
    <s v="Yes"/>
    <n v="30"/>
    <x v="0"/>
    <x v="0"/>
    <n v="7"/>
    <x v="12"/>
  </r>
  <r>
    <n v="3435"/>
    <s v="Sônia Carvalho"/>
    <x v="2"/>
    <d v="2024-09-17T00:00:00"/>
    <s v="No"/>
    <n v="10"/>
    <x v="0"/>
    <s v="No"/>
    <s v="-"/>
    <x v="0"/>
    <x v="0"/>
    <n v="10"/>
    <x v="2"/>
  </r>
  <r>
    <n v="3436"/>
    <s v="Tiago Rodrigues"/>
    <x v="1"/>
    <d v="2024-09-18T00:00:00"/>
    <s v="Yes"/>
    <n v="5"/>
    <x v="0"/>
    <s v="No"/>
    <s v="-"/>
    <x v="1"/>
    <x v="1"/>
    <n v="0"/>
    <x v="1"/>
  </r>
  <r>
    <n v="3437"/>
    <s v="Ursula Monteiro"/>
    <x v="0"/>
    <d v="2024-09-19T00:00:00"/>
    <s v="No"/>
    <n v="15"/>
    <x v="2"/>
    <s v="Yes"/>
    <n v="30"/>
    <x v="0"/>
    <x v="0"/>
    <n v="7"/>
    <x v="12"/>
  </r>
  <r>
    <n v="3438"/>
    <s v="Vanessa Pereira"/>
    <x v="2"/>
    <d v="2024-09-20T00:00:00"/>
    <s v="Yes"/>
    <n v="10"/>
    <x v="1"/>
    <s v="No"/>
    <s v="-"/>
    <x v="0"/>
    <x v="0"/>
    <n v="10"/>
    <x v="2"/>
  </r>
  <r>
    <n v="3439"/>
    <s v="Walter Silva"/>
    <x v="1"/>
    <d v="2024-09-21T00:00:00"/>
    <s v="No"/>
    <n v="5"/>
    <x v="2"/>
    <s v="No"/>
    <s v="-"/>
    <x v="1"/>
    <x v="1"/>
    <n v="1"/>
    <x v="4"/>
  </r>
  <r>
    <n v="3440"/>
    <s v="Xavier Almeida"/>
    <x v="0"/>
    <d v="2024-09-22T00:00:00"/>
    <s v="Yes"/>
    <n v="15"/>
    <x v="0"/>
    <s v="Yes"/>
    <n v="30"/>
    <x v="0"/>
    <x v="0"/>
    <n v="15"/>
    <x v="14"/>
  </r>
  <r>
    <n v="3441"/>
    <s v="Yasmine Correia"/>
    <x v="2"/>
    <d v="2024-09-23T00:00:00"/>
    <s v="No"/>
    <n v="10"/>
    <x v="0"/>
    <s v="No"/>
    <s v="-"/>
    <x v="0"/>
    <x v="0"/>
    <n v="5"/>
    <x v="13"/>
  </r>
  <r>
    <n v="3442"/>
    <s v="Zacarias Almeida"/>
    <x v="1"/>
    <d v="2024-09-24T00:00:00"/>
    <s v="Yes"/>
    <n v="5"/>
    <x v="1"/>
    <s v="No"/>
    <s v="-"/>
    <x v="1"/>
    <x v="1"/>
    <n v="0"/>
    <x v="1"/>
  </r>
  <r>
    <n v="3443"/>
    <s v="Amanda Costa"/>
    <x v="0"/>
    <d v="2024-09-25T00:00:00"/>
    <s v="No"/>
    <n v="15"/>
    <x v="2"/>
    <s v="Yes"/>
    <n v="30"/>
    <x v="0"/>
    <x v="0"/>
    <n v="20"/>
    <x v="8"/>
  </r>
  <r>
    <n v="3444"/>
    <s v="Bruno Ferreira"/>
    <x v="2"/>
    <d v="2024-09-26T00:00:00"/>
    <s v="Yes"/>
    <n v="10"/>
    <x v="2"/>
    <s v="No"/>
    <s v="-"/>
    <x v="0"/>
    <x v="0"/>
    <n v="12"/>
    <x v="10"/>
  </r>
  <r>
    <n v="3445"/>
    <s v="Carla Dias"/>
    <x v="1"/>
    <d v="2024-09-27T00:00:00"/>
    <s v="No"/>
    <n v="5"/>
    <x v="0"/>
    <s v="No"/>
    <s v="-"/>
    <x v="1"/>
    <x v="1"/>
    <n v="2"/>
    <x v="11"/>
  </r>
  <r>
    <n v="3446"/>
    <s v="Diogo Martins"/>
    <x v="0"/>
    <d v="2024-09-28T00:00:00"/>
    <s v="Yes"/>
    <n v="15"/>
    <x v="1"/>
    <s v="Yes"/>
    <n v="30"/>
    <x v="0"/>
    <x v="0"/>
    <n v="5"/>
    <x v="0"/>
  </r>
  <r>
    <n v="3447"/>
    <s v="Elisa Campos"/>
    <x v="2"/>
    <d v="2024-09-29T00:00:00"/>
    <s v="No"/>
    <n v="10"/>
    <x v="0"/>
    <s v="No"/>
    <s v="-"/>
    <x v="0"/>
    <x v="0"/>
    <n v="10"/>
    <x v="2"/>
  </r>
  <r>
    <n v="3448"/>
    <s v="Fabiana Lima"/>
    <x v="1"/>
    <d v="2024-09-30T00:00:00"/>
    <s v="Yes"/>
    <n v="5"/>
    <x v="2"/>
    <s v="No"/>
    <s v="-"/>
    <x v="1"/>
    <x v="1"/>
    <n v="0"/>
    <x v="1"/>
  </r>
  <r>
    <n v="3449"/>
    <s v="Gabriel Santos"/>
    <x v="0"/>
    <d v="2024-10-01T00:00:00"/>
    <s v="No"/>
    <n v="15"/>
    <x v="0"/>
    <s v="Yes"/>
    <n v="30"/>
    <x v="0"/>
    <x v="0"/>
    <n v="3"/>
    <x v="3"/>
  </r>
  <r>
    <n v="3450"/>
    <s v="Helena Ferreira"/>
    <x v="2"/>
    <d v="2024-10-02T00:00:00"/>
    <s v="Yes"/>
    <n v="10"/>
    <x v="1"/>
    <s v="No"/>
    <s v="-"/>
    <x v="0"/>
    <x v="0"/>
    <n v="15"/>
    <x v="7"/>
  </r>
  <r>
    <n v="3451"/>
    <s v="Ígor Nunes"/>
    <x v="1"/>
    <d v="2024-10-03T00:00:00"/>
    <s v="No"/>
    <n v="5"/>
    <x v="0"/>
    <s v="No"/>
    <s v="-"/>
    <x v="1"/>
    <x v="1"/>
    <n v="1"/>
    <x v="4"/>
  </r>
  <r>
    <n v="3452"/>
    <s v="Joana Silveira"/>
    <x v="0"/>
    <d v="2024-10-04T00:00:00"/>
    <s v="Yes"/>
    <n v="15"/>
    <x v="2"/>
    <s v="Yes"/>
    <n v="30"/>
    <x v="0"/>
    <x v="0"/>
    <n v="7"/>
    <x v="12"/>
  </r>
  <r>
    <n v="3453"/>
    <s v="Kléber Oliveira"/>
    <x v="2"/>
    <d v="2024-10-05T00:00:00"/>
    <s v="No"/>
    <n v="10"/>
    <x v="0"/>
    <s v="No"/>
    <s v="-"/>
    <x v="0"/>
    <x v="0"/>
    <n v="10"/>
    <x v="2"/>
  </r>
  <r>
    <n v="3454"/>
    <s v="Luciana Morais"/>
    <x v="1"/>
    <d v="2024-10-06T00:00:00"/>
    <s v="Yes"/>
    <n v="5"/>
    <x v="1"/>
    <s v="No"/>
    <s v="-"/>
    <x v="1"/>
    <x v="1"/>
    <n v="0"/>
    <x v="1"/>
  </r>
  <r>
    <n v="3455"/>
    <s v="Marcos Vinícius"/>
    <x v="0"/>
    <d v="2024-10-07T00:00:00"/>
    <s v="No"/>
    <n v="15"/>
    <x v="0"/>
    <s v="Yes"/>
    <n v="30"/>
    <x v="0"/>
    <x v="0"/>
    <n v="20"/>
    <x v="8"/>
  </r>
  <r>
    <n v="3456"/>
    <s v="Natália Barros"/>
    <x v="2"/>
    <d v="2024-10-08T00:00:00"/>
    <s v="Yes"/>
    <n v="10"/>
    <x v="2"/>
    <s v="No"/>
    <s v="-"/>
    <x v="0"/>
    <x v="0"/>
    <n v="15"/>
    <x v="7"/>
  </r>
  <r>
    <n v="3457"/>
    <s v="Oscar Sampaio"/>
    <x v="1"/>
    <d v="2024-10-09T00:00:00"/>
    <s v="No"/>
    <n v="5"/>
    <x v="0"/>
    <s v="No"/>
    <s v="-"/>
    <x v="1"/>
    <x v="1"/>
    <n v="1"/>
    <x v="4"/>
  </r>
  <r>
    <n v="3458"/>
    <s v="Patrícia Leite"/>
    <x v="0"/>
    <d v="2024-10-10T00:00:00"/>
    <s v="Yes"/>
    <n v="15"/>
    <x v="1"/>
    <s v="Yes"/>
    <n v="30"/>
    <x v="0"/>
    <x v="0"/>
    <n v="3"/>
    <x v="3"/>
  </r>
  <r>
    <n v="3459"/>
    <s v="Quênia Rocha"/>
    <x v="2"/>
    <d v="2024-10-11T00:00:00"/>
    <s v="No"/>
    <n v="10"/>
    <x v="0"/>
    <s v="No"/>
    <s v="-"/>
    <x v="0"/>
    <x v="0"/>
    <n v="10"/>
    <x v="2"/>
  </r>
  <r>
    <n v="3460"/>
    <s v="Rafael Torres"/>
    <x v="1"/>
    <d v="2024-10-12T00:00:00"/>
    <s v="Yes"/>
    <n v="5"/>
    <x v="2"/>
    <s v="No"/>
    <s v="-"/>
    <x v="1"/>
    <x v="1"/>
    <n v="0"/>
    <x v="1"/>
  </r>
  <r>
    <n v="3461"/>
    <s v="Sandra Gouveia"/>
    <x v="0"/>
    <d v="2024-10-13T00:00:00"/>
    <s v="No"/>
    <n v="15"/>
    <x v="0"/>
    <s v="Yes"/>
    <n v="30"/>
    <x v="0"/>
    <x v="0"/>
    <n v="15"/>
    <x v="14"/>
  </r>
  <r>
    <n v="3462"/>
    <s v="Tiago Lacerda"/>
    <x v="2"/>
    <d v="2024-10-14T00:00:00"/>
    <s v="Yes"/>
    <n v="10"/>
    <x v="1"/>
    <s v="No"/>
    <s v="-"/>
    <x v="0"/>
    <x v="0"/>
    <n v="15"/>
    <x v="7"/>
  </r>
  <r>
    <n v="3463"/>
    <s v="Ursula Fonseca"/>
    <x v="1"/>
    <d v="2024-10-15T00:00:00"/>
    <s v="No"/>
    <n v="5"/>
    <x v="0"/>
    <s v="No"/>
    <s v="-"/>
    <x v="1"/>
    <x v="1"/>
    <n v="1"/>
    <x v="4"/>
  </r>
  <r>
    <n v="3464"/>
    <s v="Vanessa Andrade"/>
    <x v="0"/>
    <d v="2024-10-16T00:00:00"/>
    <s v="Yes"/>
    <n v="15"/>
    <x v="2"/>
    <s v="Yes"/>
    <n v="30"/>
    <x v="0"/>
    <x v="0"/>
    <n v="7"/>
    <x v="12"/>
  </r>
  <r>
    <n v="3465"/>
    <s v="William Castro"/>
    <x v="2"/>
    <d v="2024-10-17T00:00:00"/>
    <s v="No"/>
    <n v="10"/>
    <x v="0"/>
    <s v="No"/>
    <s v="-"/>
    <x v="0"/>
    <x v="0"/>
    <n v="10"/>
    <x v="2"/>
  </r>
  <r>
    <n v="3466"/>
    <s v="Xavier Monteiro"/>
    <x v="1"/>
    <d v="2024-10-18T00:00:00"/>
    <s v="Yes"/>
    <n v="5"/>
    <x v="1"/>
    <s v="No"/>
    <s v="-"/>
    <x v="1"/>
    <x v="1"/>
    <n v="0"/>
    <x v="1"/>
  </r>
  <r>
    <n v="3467"/>
    <s v="Yasmin Figueira"/>
    <x v="0"/>
    <d v="2024-10-19T00:00:00"/>
    <s v="No"/>
    <n v="15"/>
    <x v="0"/>
    <s v="Yes"/>
    <n v="30"/>
    <x v="0"/>
    <x v="0"/>
    <n v="15"/>
    <x v="14"/>
  </r>
  <r>
    <n v="3468"/>
    <s v="Zacarias Mendonça"/>
    <x v="2"/>
    <d v="2024-10-20T00:00:00"/>
    <s v="Yes"/>
    <n v="10"/>
    <x v="2"/>
    <s v="No"/>
    <s v="-"/>
    <x v="0"/>
    <x v="0"/>
    <n v="12"/>
    <x v="10"/>
  </r>
  <r>
    <n v="3469"/>
    <s v="Amanda Menezes"/>
    <x v="1"/>
    <d v="2024-10-21T00:00:00"/>
    <s v="No"/>
    <n v="5"/>
    <x v="0"/>
    <s v="No"/>
    <s v="-"/>
    <x v="1"/>
    <x v="1"/>
    <n v="2"/>
    <x v="11"/>
  </r>
  <r>
    <n v="3470"/>
    <s v="Bruno Santos"/>
    <x v="0"/>
    <d v="2024-10-22T00:00:00"/>
    <s v="Yes"/>
    <n v="15"/>
    <x v="1"/>
    <s v="Yes"/>
    <n v="30"/>
    <x v="0"/>
    <x v="0"/>
    <n v="5"/>
    <x v="0"/>
  </r>
  <r>
    <n v="3471"/>
    <s v="Carla Ferreira"/>
    <x v="2"/>
    <d v="2024-10-23T00:00:00"/>
    <s v="No"/>
    <n v="10"/>
    <x v="0"/>
    <s v="No"/>
    <s v="-"/>
    <x v="0"/>
    <x v="0"/>
    <n v="10"/>
    <x v="2"/>
  </r>
  <r>
    <n v="3472"/>
    <s v="Diogo Alves"/>
    <x v="1"/>
    <d v="2024-10-24T00:00:00"/>
    <s v="Yes"/>
    <n v="5"/>
    <x v="2"/>
    <s v="No"/>
    <s v="-"/>
    <x v="1"/>
    <x v="1"/>
    <n v="0"/>
    <x v="1"/>
  </r>
  <r>
    <n v="3473"/>
    <s v="Elisa Neves"/>
    <x v="0"/>
    <d v="2024-10-25T00:00:00"/>
    <s v="No"/>
    <n v="15"/>
    <x v="0"/>
    <s v="Yes"/>
    <n v="30"/>
    <x v="0"/>
    <x v="0"/>
    <n v="3"/>
    <x v="3"/>
  </r>
  <r>
    <n v="3474"/>
    <s v="Fabiano Pires"/>
    <x v="2"/>
    <d v="2024-10-26T00:00:00"/>
    <s v="Yes"/>
    <n v="10"/>
    <x v="1"/>
    <s v="No"/>
    <s v="-"/>
    <x v="0"/>
    <x v="0"/>
    <n v="15"/>
    <x v="7"/>
  </r>
  <r>
    <n v="3475"/>
    <s v="Giovana Ribeiro"/>
    <x v="1"/>
    <d v="2024-10-27T00:00:00"/>
    <s v="No"/>
    <n v="5"/>
    <x v="0"/>
    <s v="No"/>
    <s v="-"/>
    <x v="1"/>
    <x v="1"/>
    <n v="1"/>
    <x v="4"/>
  </r>
  <r>
    <n v="3476"/>
    <s v="Hélio Costa"/>
    <x v="0"/>
    <d v="2024-10-28T00:00:00"/>
    <s v="Yes"/>
    <n v="15"/>
    <x v="2"/>
    <s v="Yes"/>
    <n v="30"/>
    <x v="0"/>
    <x v="0"/>
    <n v="7"/>
    <x v="12"/>
  </r>
  <r>
    <n v="3477"/>
    <s v="Íris Loureiro"/>
    <x v="2"/>
    <d v="2024-10-29T00:00:00"/>
    <s v="No"/>
    <n v="10"/>
    <x v="0"/>
    <s v="No"/>
    <s v="-"/>
    <x v="0"/>
    <x v="0"/>
    <n v="10"/>
    <x v="2"/>
  </r>
  <r>
    <n v="3478"/>
    <s v="João Pereira"/>
    <x v="1"/>
    <d v="2024-10-30T00:00:00"/>
    <s v="Yes"/>
    <n v="5"/>
    <x v="1"/>
    <s v="No"/>
    <s v="-"/>
    <x v="1"/>
    <x v="1"/>
    <n v="0"/>
    <x v="1"/>
  </r>
  <r>
    <n v="3479"/>
    <s v="Klara Silva"/>
    <x v="0"/>
    <d v="2024-10-31T00:00:00"/>
    <s v="No"/>
    <n v="15"/>
    <x v="0"/>
    <s v="Yes"/>
    <n v="30"/>
    <x v="0"/>
    <x v="0"/>
    <n v="20"/>
    <x v="8"/>
  </r>
  <r>
    <n v="3480"/>
    <s v="Luciana Barros"/>
    <x v="2"/>
    <d v="2024-11-01T00:00:00"/>
    <s v="Yes"/>
    <n v="10"/>
    <x v="2"/>
    <s v="No"/>
    <s v="-"/>
    <x v="0"/>
    <x v="0"/>
    <n v="15"/>
    <x v="7"/>
  </r>
  <r>
    <n v="3481"/>
    <s v="Marcos Gomes"/>
    <x v="1"/>
    <d v="2024-11-02T00:00:00"/>
    <s v="No"/>
    <n v="5"/>
    <x v="0"/>
    <s v="No"/>
    <s v="-"/>
    <x v="1"/>
    <x v="1"/>
    <n v="1"/>
    <x v="4"/>
  </r>
  <r>
    <n v="3482"/>
    <s v="Natália Soares"/>
    <x v="0"/>
    <d v="2024-11-03T00:00:00"/>
    <s v="Yes"/>
    <n v="15"/>
    <x v="1"/>
    <s v="Yes"/>
    <n v="30"/>
    <x v="0"/>
    <x v="0"/>
    <n v="3"/>
    <x v="3"/>
  </r>
  <r>
    <n v="3483"/>
    <s v="Oscar Machado"/>
    <x v="2"/>
    <d v="2024-11-04T00:00:00"/>
    <s v="No"/>
    <n v="10"/>
    <x v="0"/>
    <s v="No"/>
    <s v="-"/>
    <x v="0"/>
    <x v="0"/>
    <n v="10"/>
    <x v="2"/>
  </r>
  <r>
    <n v="3484"/>
    <s v="Patrícia Lima"/>
    <x v="1"/>
    <d v="2024-11-05T00:00:00"/>
    <s v="Yes"/>
    <n v="5"/>
    <x v="2"/>
    <s v="No"/>
    <s v="-"/>
    <x v="1"/>
    <x v="1"/>
    <n v="0"/>
    <x v="1"/>
  </r>
  <r>
    <n v="3485"/>
    <s v="Quirino Neto"/>
    <x v="0"/>
    <d v="2024-11-06T00:00:00"/>
    <s v="No"/>
    <n v="15"/>
    <x v="0"/>
    <s v="Yes"/>
    <n v="30"/>
    <x v="0"/>
    <x v="0"/>
    <n v="15"/>
    <x v="14"/>
  </r>
  <r>
    <n v="3486"/>
    <s v="Rafaela Souza"/>
    <x v="1"/>
    <d v="2024-11-07T00:00:00"/>
    <s v="Yes"/>
    <n v="5"/>
    <x v="0"/>
    <s v="No"/>
    <s v="-"/>
    <x v="1"/>
    <x v="1"/>
    <n v="0"/>
    <x v="1"/>
  </r>
  <r>
    <n v="3487"/>
    <s v="Sandro Almeida"/>
    <x v="0"/>
    <d v="2024-11-08T00:00:00"/>
    <s v="No"/>
    <n v="15"/>
    <x v="2"/>
    <s v="Yes"/>
    <n v="30"/>
    <x v="0"/>
    <x v="0"/>
    <n v="7"/>
    <x v="12"/>
  </r>
  <r>
    <n v="3488"/>
    <s v="Tânia Ribeiro"/>
    <x v="2"/>
    <d v="2024-11-09T00:00:00"/>
    <s v="Yes"/>
    <n v="10"/>
    <x v="1"/>
    <s v="No"/>
    <s v="-"/>
    <x v="0"/>
    <x v="0"/>
    <n v="10"/>
    <x v="2"/>
  </r>
  <r>
    <n v="3489"/>
    <s v="Ugo Dias"/>
    <x v="1"/>
    <d v="2024-11-10T00:00:00"/>
    <s v="No"/>
    <n v="5"/>
    <x v="2"/>
    <s v="No"/>
    <s v="-"/>
    <x v="1"/>
    <x v="1"/>
    <n v="1"/>
    <x v="4"/>
  </r>
  <r>
    <n v="3490"/>
    <s v="Valéria Lima"/>
    <x v="0"/>
    <d v="2024-11-11T00:00:00"/>
    <s v="Yes"/>
    <n v="15"/>
    <x v="0"/>
    <s v="Yes"/>
    <n v="30"/>
    <x v="0"/>
    <x v="0"/>
    <n v="15"/>
    <x v="14"/>
  </r>
  <r>
    <n v="3491"/>
    <s v="William Fernandes"/>
    <x v="2"/>
    <d v="2024-11-12T00:00:00"/>
    <s v="No"/>
    <n v="10"/>
    <x v="0"/>
    <s v="No"/>
    <s v="-"/>
    <x v="0"/>
    <x v="0"/>
    <n v="5"/>
    <x v="13"/>
  </r>
  <r>
    <n v="3492"/>
    <s v="Xuxa Mendes"/>
    <x v="1"/>
    <d v="2024-11-13T00:00:00"/>
    <s v="Yes"/>
    <n v="5"/>
    <x v="1"/>
    <s v="No"/>
    <s v="-"/>
    <x v="1"/>
    <x v="1"/>
    <n v="0"/>
    <x v="1"/>
  </r>
  <r>
    <n v="3493"/>
    <s v="Ygor Farias"/>
    <x v="0"/>
    <d v="2024-11-14T00:00:00"/>
    <s v="No"/>
    <n v="15"/>
    <x v="2"/>
    <s v="Yes"/>
    <n v="30"/>
    <x v="0"/>
    <x v="0"/>
    <n v="20"/>
    <x v="8"/>
  </r>
  <r>
    <n v="3494"/>
    <s v="Zilda Barros"/>
    <x v="2"/>
    <d v="2024-11-15T00:00:00"/>
    <s v="Yes"/>
    <n v="10"/>
    <x v="2"/>
    <s v="No"/>
    <s v="-"/>
    <x v="0"/>
    <x v="0"/>
    <n v="12"/>
    <x v="10"/>
  </r>
  <r>
    <n v="3495"/>
    <s v="Amanda Santos"/>
    <x v="1"/>
    <d v="2024-11-16T00:00:00"/>
    <s v="No"/>
    <n v="5"/>
    <x v="0"/>
    <s v="No"/>
    <s v="-"/>
    <x v="1"/>
    <x v="1"/>
    <n v="2"/>
    <x v="11"/>
  </r>
  <r>
    <n v="3496"/>
    <s v="Bruno Costa"/>
    <x v="0"/>
    <d v="2024-11-17T00:00:00"/>
    <s v="Yes"/>
    <n v="15"/>
    <x v="1"/>
    <s v="Yes"/>
    <n v="30"/>
    <x v="0"/>
    <x v="0"/>
    <n v="5"/>
    <x v="0"/>
  </r>
  <r>
    <n v="3497"/>
    <s v="Carla Rodrigues"/>
    <x v="2"/>
    <d v="2024-11-18T00:00:00"/>
    <s v="No"/>
    <n v="10"/>
    <x v="0"/>
    <s v="No"/>
    <s v="-"/>
    <x v="0"/>
    <x v="0"/>
    <n v="10"/>
    <x v="2"/>
  </r>
  <r>
    <n v="3498"/>
    <s v="Diogo Pereira"/>
    <x v="1"/>
    <d v="2024-11-19T00:00:00"/>
    <s v="Yes"/>
    <n v="5"/>
    <x v="2"/>
    <s v="No"/>
    <s v="-"/>
    <x v="1"/>
    <x v="1"/>
    <n v="0"/>
    <x v="1"/>
  </r>
  <r>
    <n v="3499"/>
    <s v="Elisa Correia"/>
    <x v="0"/>
    <d v="2024-11-20T00:00:00"/>
    <s v="No"/>
    <n v="15"/>
    <x v="0"/>
    <s v="Yes"/>
    <n v="30"/>
    <x v="0"/>
    <x v="0"/>
    <n v="3"/>
    <x v="3"/>
  </r>
  <r>
    <n v="3500"/>
    <s v="Fábio Lourenço"/>
    <x v="2"/>
    <d v="2024-11-21T00:00:00"/>
    <s v="Yes"/>
    <n v="10"/>
    <x v="1"/>
    <s v="No"/>
    <s v="-"/>
    <x v="0"/>
    <x v="0"/>
    <n v="15"/>
    <x v="7"/>
  </r>
  <r>
    <n v="3501"/>
    <s v="Gabriela Neves"/>
    <x v="1"/>
    <d v="2024-11-22T00:00:00"/>
    <s v="No"/>
    <n v="5"/>
    <x v="0"/>
    <s v="No"/>
    <s v="-"/>
    <x v="1"/>
    <x v="1"/>
    <n v="1"/>
    <x v="4"/>
  </r>
  <r>
    <n v="3502"/>
    <s v="Henrique Gonçalves"/>
    <x v="0"/>
    <d v="2024-11-23T00:00:00"/>
    <s v="Yes"/>
    <n v="15"/>
    <x v="2"/>
    <s v="Yes"/>
    <n v="30"/>
    <x v="0"/>
    <x v="0"/>
    <n v="7"/>
    <x v="12"/>
  </r>
  <r>
    <n v="3503"/>
    <s v="Íris Santos"/>
    <x v="2"/>
    <d v="2024-11-24T00:00:00"/>
    <s v="No"/>
    <n v="10"/>
    <x v="0"/>
    <s v="No"/>
    <s v="-"/>
    <x v="0"/>
    <x v="0"/>
    <n v="10"/>
    <x v="2"/>
  </r>
  <r>
    <n v="3504"/>
    <s v="João Marcelo Alves"/>
    <x v="1"/>
    <d v="2024-11-25T00:00:00"/>
    <s v="Yes"/>
    <n v="5"/>
    <x v="1"/>
    <s v="No"/>
    <s v="-"/>
    <x v="1"/>
    <x v="1"/>
    <n v="0"/>
    <x v="1"/>
  </r>
  <r>
    <n v="3505"/>
    <s v="Klara Fonseca"/>
    <x v="0"/>
    <d v="2024-11-26T00:00:00"/>
    <s v="No"/>
    <n v="15"/>
    <x v="0"/>
    <s v="Yes"/>
    <n v="30"/>
    <x v="0"/>
    <x v="0"/>
    <n v="20"/>
    <x v="8"/>
  </r>
  <r>
    <n v="3506"/>
    <s v="Lucas Mendonça"/>
    <x v="2"/>
    <d v="2024-11-27T00:00:00"/>
    <s v="Yes"/>
    <n v="10"/>
    <x v="2"/>
    <s v="No"/>
    <s v="-"/>
    <x v="0"/>
    <x v="0"/>
    <n v="15"/>
    <x v="7"/>
  </r>
  <r>
    <n v="3507"/>
    <s v="Marcela Torres"/>
    <x v="1"/>
    <d v="2024-11-28T00:00:00"/>
    <s v="No"/>
    <n v="5"/>
    <x v="0"/>
    <s v="No"/>
    <s v="-"/>
    <x v="1"/>
    <x v="1"/>
    <n v="1"/>
    <x v="4"/>
  </r>
  <r>
    <n v="3508"/>
    <s v="Natália Castro"/>
    <x v="0"/>
    <d v="2024-11-29T00:00:00"/>
    <s v="Yes"/>
    <n v="15"/>
    <x v="1"/>
    <s v="Yes"/>
    <n v="30"/>
    <x v="0"/>
    <x v="0"/>
    <n v="3"/>
    <x v="3"/>
  </r>
  <r>
    <n v="3509"/>
    <s v="Oscar Martins"/>
    <x v="2"/>
    <d v="2024-11-30T00:00:00"/>
    <s v="No"/>
    <n v="10"/>
    <x v="0"/>
    <s v="No"/>
    <s v="-"/>
    <x v="0"/>
    <x v="0"/>
    <n v="10"/>
    <x v="2"/>
  </r>
  <r>
    <n v="3510"/>
    <s v="Patrícia Oliveira"/>
    <x v="1"/>
    <d v="2024-12-01T00:00:00"/>
    <s v="Yes"/>
    <n v="5"/>
    <x v="2"/>
    <s v="No"/>
    <s v="-"/>
    <x v="1"/>
    <x v="1"/>
    <n v="0"/>
    <x v="1"/>
  </r>
  <r>
    <n v="3511"/>
    <s v="Quentin Nogueira"/>
    <x v="0"/>
    <d v="2024-12-02T00:00:00"/>
    <s v="No"/>
    <n v="15"/>
    <x v="0"/>
    <s v="Yes"/>
    <n v="30"/>
    <x v="0"/>
    <x v="0"/>
    <n v="15"/>
    <x v="14"/>
  </r>
  <r>
    <n v="3512"/>
    <s v="Raquel Silva"/>
    <x v="2"/>
    <d v="2024-12-03T00:00:00"/>
    <s v="Yes"/>
    <n v="10"/>
    <x v="1"/>
    <s v="No"/>
    <s v="-"/>
    <x v="0"/>
    <x v="0"/>
    <n v="15"/>
    <x v="7"/>
  </r>
  <r>
    <n v="3513"/>
    <s v="Sandro Gomes"/>
    <x v="1"/>
    <d v="2024-12-04T00:00:00"/>
    <s v="No"/>
    <n v="5"/>
    <x v="0"/>
    <s v="No"/>
    <s v="-"/>
    <x v="1"/>
    <x v="1"/>
    <n v="1"/>
    <x v="4"/>
  </r>
  <r>
    <n v="3514"/>
    <s v="Tânia Machado"/>
    <x v="0"/>
    <d v="2024-12-05T00:00:00"/>
    <s v="Yes"/>
    <n v="15"/>
    <x v="2"/>
    <s v="Yes"/>
    <n v="30"/>
    <x v="0"/>
    <x v="0"/>
    <n v="7"/>
    <x v="12"/>
  </r>
  <r>
    <n v="3515"/>
    <s v="Ursula Silva"/>
    <x v="2"/>
    <d v="2024-12-06T00:00:00"/>
    <s v="No"/>
    <n v="10"/>
    <x v="0"/>
    <s v="No"/>
    <s v="-"/>
    <x v="0"/>
    <x v="0"/>
    <n v="10"/>
    <x v="2"/>
  </r>
  <r>
    <n v="3516"/>
    <s v="Vanessa Moraes"/>
    <x v="1"/>
    <d v="2024-12-07T00:00:00"/>
    <s v="Yes"/>
    <n v="5"/>
    <x v="1"/>
    <s v="No"/>
    <s v="-"/>
    <x v="1"/>
    <x v="1"/>
    <n v="0"/>
    <x v="1"/>
  </r>
  <r>
    <n v="3517"/>
    <s v="William Carvalho"/>
    <x v="0"/>
    <d v="2024-12-08T00:00:00"/>
    <s v="No"/>
    <n v="15"/>
    <x v="0"/>
    <s v="Yes"/>
    <n v="30"/>
    <x v="0"/>
    <x v="0"/>
    <n v="20"/>
    <x v="8"/>
  </r>
  <r>
    <n v="3518"/>
    <s v="Xavier Reis"/>
    <x v="2"/>
    <d v="2024-12-09T00:00:00"/>
    <s v="Yes"/>
    <n v="10"/>
    <x v="2"/>
    <s v="No"/>
    <s v="-"/>
    <x v="0"/>
    <x v="0"/>
    <n v="12"/>
    <x v="10"/>
  </r>
  <r>
    <n v="3519"/>
    <s v="Yasmin Rocha"/>
    <x v="1"/>
    <d v="2024-12-10T00:00:00"/>
    <s v="No"/>
    <n v="5"/>
    <x v="0"/>
    <s v="No"/>
    <s v="-"/>
    <x v="1"/>
    <x v="1"/>
    <n v="2"/>
    <x v="11"/>
  </r>
  <r>
    <n v="3520"/>
    <s v="Zacarias Duarte"/>
    <x v="0"/>
    <d v="2024-12-11T00:00:00"/>
    <s v="Yes"/>
    <n v="15"/>
    <x v="1"/>
    <s v="Yes"/>
    <n v="30"/>
    <x v="0"/>
    <x v="0"/>
    <n v="5"/>
    <x v="0"/>
  </r>
  <r>
    <n v="3521"/>
    <s v="Amanda Freitas"/>
    <x v="2"/>
    <d v="2024-12-12T00:00:00"/>
    <s v="No"/>
    <n v="10"/>
    <x v="0"/>
    <s v="No"/>
    <s v="-"/>
    <x v="0"/>
    <x v="0"/>
    <n v="10"/>
    <x v="2"/>
  </r>
  <r>
    <n v="3522"/>
    <s v="Bruno Almeida"/>
    <x v="1"/>
    <d v="2024-12-13T00:00:00"/>
    <s v="Yes"/>
    <n v="5"/>
    <x v="2"/>
    <s v="No"/>
    <s v="-"/>
    <x v="1"/>
    <x v="1"/>
    <n v="0"/>
    <x v="1"/>
  </r>
  <r>
    <n v="3523"/>
    <s v="Carla Siqueira"/>
    <x v="0"/>
    <d v="2024-12-14T00:00:00"/>
    <s v="No"/>
    <n v="15"/>
    <x v="0"/>
    <s v="Yes"/>
    <n v="30"/>
    <x v="0"/>
    <x v="0"/>
    <n v="3"/>
    <x v="3"/>
  </r>
  <r>
    <n v="3524"/>
    <s v="Diogo Ramos"/>
    <x v="2"/>
    <d v="2024-12-15T00:00:00"/>
    <s v="Yes"/>
    <n v="10"/>
    <x v="1"/>
    <s v="No"/>
    <s v="-"/>
    <x v="0"/>
    <x v="0"/>
    <n v="15"/>
    <x v="7"/>
  </r>
  <r>
    <n v="3525"/>
    <s v="Elisa Magalhães"/>
    <x v="1"/>
    <d v="2024-12-16T00:00:00"/>
    <s v="No"/>
    <n v="5"/>
    <x v="0"/>
    <s v="No"/>
    <s v="-"/>
    <x v="1"/>
    <x v="1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2A601-684B-43C6-AB34-14F662E380C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44:C47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9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486FA-5E01-48A0-955D-AE07AA8B9D3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4:C28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AF745-F7CB-46D3-94C4-DC74D34ABBC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:C8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6E187F12-AF1C-4928-A335-9F15219BE557}" sourceName="Minecraft Season Pass">
  <pivotTables>
    <pivotTable tabId="3" name="Tabela dinâmica3"/>
  </pivotTables>
  <data>
    <tabular pivotCacheId="144386702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CA96157-36AE-4389-942E-4A9FBDC678AC}" sourceName="Subscription Type">
  <pivotTables>
    <pivotTable tabId="3" name="Tabela dinâmica1"/>
  </pivotTables>
  <data>
    <tabular pivotCacheId="1443867022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5D9F3583-61A6-46AB-B4F1-D990970802EC}" sourceName="Plan">
  <pivotTables>
    <pivotTable tabId="3" name="Tabela dinâmica2"/>
  </pivotTables>
  <data>
    <tabular pivotCacheId="1443867022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inecraft Season Pass" xr10:uid="{CBF7845E-43E9-460D-B6AA-A0F994BFDDC6}" cache="SegmentaçãodeDados_Minecraft_Season_Pass" caption="Minecraft Season Pass" style="SlicerStyleLight3 2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BDCD4E5-D0FE-471D-9248-EE298CCDF36A}" cache="SegmentaçãodeDados_Subscription_Type" caption="TOTAL SELL" style="SlicerStyleLight3 2" rowHeight="247650"/>
  <slicer name="Plan" xr10:uid="{CB1B8C4F-3211-436D-A618-03FF8C87A63A}" cache="SegmentaçãodeDados_Plan" caption="Sell by plan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solidFill>
          <a:srgbClr val="2AE6B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ctr"/>
      <a:lstStyle>
        <a:defPPr algn="ctr">
          <a:defRPr sz="24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312</v>
      </c>
      <c r="C5" t="s">
        <v>3</v>
      </c>
      <c r="E5" s="7" t="s">
        <v>315</v>
      </c>
      <c r="F5" t="s">
        <v>2</v>
      </c>
    </row>
    <row r="6" spans="2:16" x14ac:dyDescent="0.3">
      <c r="B6" s="4" t="s">
        <v>313</v>
      </c>
      <c r="C6" t="s">
        <v>3</v>
      </c>
    </row>
    <row r="7" spans="2:16" x14ac:dyDescent="0.3">
      <c r="B7" s="5" t="s">
        <v>311</v>
      </c>
      <c r="C7" t="s">
        <v>4</v>
      </c>
    </row>
    <row r="8" spans="2:16" x14ac:dyDescent="0.3">
      <c r="B8" s="6" t="s">
        <v>314</v>
      </c>
      <c r="C8" t="s">
        <v>4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8.21875" bestFit="1" customWidth="1"/>
    <col min="3" max="3" width="9.88671875" bestFit="1" customWidth="1"/>
    <col min="4" max="4" width="14.5546875" bestFit="1" customWidth="1"/>
    <col min="5" max="5" width="18" bestFit="1" customWidth="1"/>
    <col min="6" max="6" width="22" bestFit="1" customWidth="1"/>
    <col min="7" max="7" width="21.6640625" bestFit="1" customWidth="1"/>
    <col min="8" max="9" width="23.6640625" bestFit="1" customWidth="1"/>
    <col min="10" max="10" width="25.6640625" bestFit="1" customWidth="1"/>
    <col min="11" max="11" width="30.5546875" bestFit="1" customWidth="1"/>
    <col min="12" max="12" width="18.21875" bestFit="1" customWidth="1"/>
    <col min="13" max="13" width="15.6640625" bestFit="1" customWidth="1"/>
  </cols>
  <sheetData>
    <row r="1" spans="1:13" ht="28.8" x14ac:dyDescent="0.3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 x14ac:dyDescent="0.3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47"/>
  <sheetViews>
    <sheetView showGridLines="0" topLeftCell="A37" workbookViewId="0">
      <selection activeCell="E5" sqref="E5"/>
    </sheetView>
  </sheetViews>
  <sheetFormatPr defaultRowHeight="14.4" x14ac:dyDescent="0.3"/>
  <cols>
    <col min="2" max="2" width="16.77734375" bestFit="1" customWidth="1"/>
    <col min="3" max="3" width="17.88671875" bestFit="1" customWidth="1"/>
    <col min="4" max="4" width="30.5546875" bestFit="1" customWidth="1"/>
    <col min="5" max="5" width="10.5546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3" x14ac:dyDescent="0.3">
      <c r="B2" t="s">
        <v>316</v>
      </c>
    </row>
    <row r="4" spans="2:3" x14ac:dyDescent="0.3">
      <c r="B4" s="12" t="s">
        <v>308</v>
      </c>
      <c r="C4" t="s">
        <v>310</v>
      </c>
    </row>
    <row r="5" spans="2:3" x14ac:dyDescent="0.3">
      <c r="B5" s="14" t="s">
        <v>19</v>
      </c>
      <c r="C5" s="13">
        <v>1754</v>
      </c>
    </row>
    <row r="6" spans="2:3" x14ac:dyDescent="0.3">
      <c r="B6" s="14" t="s">
        <v>15</v>
      </c>
      <c r="C6" s="13">
        <v>3571</v>
      </c>
    </row>
    <row r="7" spans="2:3" x14ac:dyDescent="0.3">
      <c r="B7" s="14" t="s">
        <v>22</v>
      </c>
      <c r="C7" s="13">
        <v>2308</v>
      </c>
    </row>
    <row r="8" spans="2:3" x14ac:dyDescent="0.3">
      <c r="B8" s="14" t="s">
        <v>309</v>
      </c>
      <c r="C8" s="13">
        <v>7633</v>
      </c>
    </row>
    <row r="23" spans="2:3" x14ac:dyDescent="0.3">
      <c r="B23" s="14" t="s">
        <v>317</v>
      </c>
    </row>
    <row r="24" spans="2:3" x14ac:dyDescent="0.3">
      <c r="B24" s="12" t="s">
        <v>308</v>
      </c>
      <c r="C24" t="s">
        <v>310</v>
      </c>
    </row>
    <row r="25" spans="2:3" x14ac:dyDescent="0.3">
      <c r="B25" s="14" t="s">
        <v>17</v>
      </c>
      <c r="C25" s="13">
        <v>444</v>
      </c>
    </row>
    <row r="26" spans="2:3" x14ac:dyDescent="0.3">
      <c r="B26" s="14" t="s">
        <v>21</v>
      </c>
      <c r="C26" s="13">
        <v>1801</v>
      </c>
    </row>
    <row r="27" spans="2:3" x14ac:dyDescent="0.3">
      <c r="B27" s="14" t="s">
        <v>13</v>
      </c>
      <c r="C27" s="13">
        <v>5388</v>
      </c>
    </row>
    <row r="28" spans="2:3" x14ac:dyDescent="0.3">
      <c r="B28" s="14" t="s">
        <v>309</v>
      </c>
      <c r="C28" s="13">
        <v>7633</v>
      </c>
    </row>
    <row r="43" spans="2:7" x14ac:dyDescent="0.3">
      <c r="B43" s="14" t="s">
        <v>318</v>
      </c>
    </row>
    <row r="44" spans="2:7" x14ac:dyDescent="0.3">
      <c r="B44" s="12" t="s">
        <v>308</v>
      </c>
      <c r="C44" t="s">
        <v>310</v>
      </c>
    </row>
    <row r="45" spans="2:7" x14ac:dyDescent="0.3">
      <c r="B45" s="14" t="s">
        <v>18</v>
      </c>
      <c r="C45" s="13">
        <v>444</v>
      </c>
    </row>
    <row r="46" spans="2:7" x14ac:dyDescent="0.3">
      <c r="B46" s="14" t="s">
        <v>14</v>
      </c>
      <c r="C46" s="13">
        <v>7189</v>
      </c>
    </row>
    <row r="47" spans="2:7" x14ac:dyDescent="0.3">
      <c r="B47" s="14" t="s">
        <v>309</v>
      </c>
      <c r="C47" s="13">
        <v>7633</v>
      </c>
      <c r="G47" s="15">
        <f>GETPIVOTDATA("Total Value",$B$44)</f>
        <v>7633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N7"/>
  <sheetViews>
    <sheetView showGridLines="0" showRowColHeaders="0" tabSelected="1" zoomScaleNormal="100" workbookViewId="0">
      <selection activeCell="K25" sqref="K2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0.44140625" style="5" customWidth="1"/>
    <col min="2" max="2" width="3.5546875" style="7" customWidth="1"/>
    <col min="3" max="11" width="8.88671875" style="7"/>
    <col min="12" max="12" width="6.5546875" style="7" customWidth="1"/>
    <col min="13" max="16384" width="8.88671875" style="7"/>
  </cols>
  <sheetData>
    <row r="1" spans="1:14" customFormat="1" x14ac:dyDescent="0.3">
      <c r="A1" s="5"/>
    </row>
    <row r="2" spans="1:14" customFormat="1" ht="39" customHeight="1" thickBot="1" x14ac:dyDescent="0.35">
      <c r="A2" s="5"/>
      <c r="B2" s="16"/>
      <c r="C2" s="18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customFormat="1" ht="8.25" customHeight="1" thickTop="1" x14ac:dyDescent="0.3">
      <c r="A3" s="5"/>
    </row>
    <row r="4" spans="1:14" customFormat="1" ht="7.5" customHeight="1" x14ac:dyDescent="0.3">
      <c r="A4" s="5"/>
    </row>
    <row r="5" spans="1:14" customFormat="1" ht="10.5" customHeight="1" x14ac:dyDescent="0.3">
      <c r="A5" s="5"/>
    </row>
    <row r="6" spans="1:14" ht="9.75" customHeight="1" x14ac:dyDescent="0.3"/>
    <row r="7" spans="1:14" ht="33" customHeight="1" x14ac:dyDescent="0.3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Leandro Santos</cp:lastModifiedBy>
  <dcterms:created xsi:type="dcterms:W3CDTF">2024-12-19T13:13:10Z</dcterms:created>
  <dcterms:modified xsi:type="dcterms:W3CDTF">2025-12-09T22:14:27Z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